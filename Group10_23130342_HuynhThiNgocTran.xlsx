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Test case List" sheetId="2" state="visible" r:id="rId4"/>
    <sheet name="TestDesign" sheetId="3" state="visible" r:id="rId5"/>
    <sheet name="F10_Vacancy" sheetId="4" state="visible" r:id="rId6"/>
    <sheet name="F11_Candidate" sheetId="5" state="visible" r:id="rId7"/>
    <sheet name="F12_Status" sheetId="6" state="visible" r:id="rId8"/>
    <sheet name="Test Repor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<sst xmlns="http://schemas.openxmlformats.org/spreadsheetml/2006/main" count="1209" uniqueCount="537">
  <si>
    <t xml:space="preserve">TEST CASE</t>
  </si>
  <si>
    <t xml:space="preserve">Project Name</t>
  </si>
  <si>
    <t xml:space="preserve">OrangeHRM - Recruitment</t>
  </si>
  <si>
    <t xml:space="preserve">Creator</t>
  </si>
  <si>
    <t xml:space="preserve">Huỳnh Thị Ngọc Trân</t>
  </si>
  <si>
    <t xml:space="preserve">Project Code</t>
  </si>
  <si>
    <t xml:space="preserve">OHRM-REC</t>
  </si>
  <si>
    <t xml:space="preserve">Reviewer/Approver</t>
  </si>
  <si>
    <t xml:space="preserve">Document Code</t>
  </si>
  <si>
    <t xml:space="preserve">Issue Date</t>
  </si>
  <si>
    <t xml:space="preserve">Version</t>
  </si>
  <si>
    <t xml:space="preserve">Record of change</t>
  </si>
  <si>
    <t xml:space="preserve">Effective Date</t>
  </si>
  <si>
    <t xml:space="preserve">Change Item</t>
  </si>
  <si>
    <t xml:space="preserve">*A,D,M</t>
  </si>
  <si>
    <t xml:space="preserve">Change description</t>
  </si>
  <si>
    <t xml:space="preserve">Reference</t>
  </si>
  <si>
    <t xml:space="preserve">0.1</t>
  </si>
  <si>
    <t xml:space="preserve">A</t>
  </si>
  <si>
    <t xml:space="preserve">Tạo mới Test Case module TV4 - Recruitment (3 chức năng F10, F11, F12; 98 test case)</t>
  </si>
  <si>
    <t xml:space="preserve">OrangeHRM - Test Design (Recruitment)</t>
  </si>
  <si>
    <t xml:space="preserve">TEST CASE LIST</t>
  </si>
  <si>
    <t xml:space="preserve">Test Environment Setup Description</t>
  </si>
  <si>
    <t xml:space="preserve">Môi trường kiểm thử module Recruitment - OrangeHRM:
1. Website: https://opensource-demo.orangehrmlive.com/web/index.php/auth/login (bản demo công khai, dữ liệu dùng chung và được reset định kỳ)
2. Trình duyệt: Chrome (bản mới nhất)
3. Tài khoản: Admin / admin123 (vai trò Admin)
4. Dữ liệu test: tên vacancy/ứng viên có tiền tố G10 để tránh trùng với người dùng khác; file Resume mẫu (.pdf, .docx, .txt, .exe, .jpg; file 1MB và 2MB)
5. Thứ tự thực hiện: F10 → F11 → F12 (F11 dùng vacancy tạo ở F10, F12 dùng ứng viên tạo ở F11)</t>
  </si>
  <si>
    <t xml:space="preserve">No</t>
  </si>
  <si>
    <t xml:space="preserve">Function Name</t>
  </si>
  <si>
    <t xml:space="preserve">Sheet Name</t>
  </si>
  <si>
    <t xml:space="preserve">Description</t>
  </si>
  <si>
    <t xml:space="preserve">Pre-Condition</t>
  </si>
  <si>
    <t xml:space="preserve">Quản lý vacancy</t>
  </si>
  <si>
    <t xml:space="preserve">F10_Vacancy</t>
  </si>
  <si>
    <t xml:space="preserve">Kiểm tra thêm, tìm kiếm/lọc, sửa và xóa vacancy (hợp lệ, không hợp lệ, ngoại lệ) tại Recruitment &gt; Vacancies</t>
  </si>
  <si>
    <t xml:space="preserve">Đã đăng nhập OrangeHRM bằng Admin / admin123, đang ở Recruitment &gt; Vacancies</t>
  </si>
  <si>
    <t xml:space="preserve">Thêm và tìm kiếm ứng viên</t>
  </si>
  <si>
    <t xml:space="preserve">F11_Candidate</t>
  </si>
  <si>
    <t xml:space="preserve">Kiểm tra thêm ứng viên (ràng buộc dữ liệu, tải Resume), tìm kiếm theo các tiêu chí, xem chi tiết và xóa ứng viên</t>
  </si>
  <si>
    <t xml:space="preserve">Đã đăng nhập; đã có vacancy (tạo ở F10) để gắn ứng viên; đang ở Recruitment &gt; Candidates</t>
  </si>
  <si>
    <t xml:space="preserve">Cập nhật trạng thái ứng viên</t>
  </si>
  <si>
    <t xml:space="preserve">F12_Status</t>
  </si>
  <si>
    <t xml:space="preserve">Kiểm tra luồng cập nhật trạng thái (Shortlist, Reject, Interview, Offer, Hire), ràng buộc nhập liệu, workflow, đồng bộ danh sách và lịch sử</t>
  </si>
  <si>
    <t xml:space="preserve">Đã đăng nhập; có ứng viên ở trạng thái Application Initiated (tạo ở F11)</t>
  </si>
  <si>
    <t xml:space="preserve">Requirement Level 1</t>
  </si>
  <si>
    <t xml:space="preserve">Requirement Level 2</t>
  </si>
  <si>
    <t xml:space="preserve">Requirement Level 3</t>
  </si>
  <si>
    <t xml:space="preserve">Test Criteria</t>
  </si>
  <si>
    <t xml:space="preserve">Test Type</t>
  </si>
  <si>
    <t xml:space="preserve">Note</t>
  </si>
  <si>
    <t xml:space="preserve">F10. Quản lý vacancy</t>
  </si>
  <si>
    <t xml:space="preserve">10.1. Điều hướng &amp; hiển thị</t>
  </si>
  <si>
    <t xml:space="preserve">Điều hướng</t>
  </si>
  <si>
    <t xml:space="preserve">Kiểm tra menu [Recruitment] hiển thị và truy cập được</t>
  </si>
  <si>
    <t xml:space="preserve">Function</t>
  </si>
  <si>
    <t xml:space="preserve">Kiểm tra chuyển sang tab [Vacancies]</t>
  </si>
  <si>
    <t xml:space="preserve">Hiển thị</t>
  </si>
  <si>
    <t xml:space="preserve">Kiểm tra danh sách vacancy hiển thị đủ các cột và nút [+ Add]</t>
  </si>
  <si>
    <t xml:space="preserve">GUI</t>
  </si>
  <si>
    <t xml:space="preserve">Kiểm tra bộ lọc hiển thị đủ các trường</t>
  </si>
  <si>
    <t xml:space="preserve">10.2. Thêm vacancy</t>
  </si>
  <si>
    <t xml:space="preserve">Thêm hợp lệ</t>
  </si>
  <si>
    <t xml:space="preserve">Kiểm tra thêm vacancy với đầy đủ thông tin hợp lệ</t>
  </si>
  <si>
    <t xml:space="preserve">Kiểm tra thêm vacancy chỉ với các trường bắt buộc</t>
  </si>
  <si>
    <t xml:space="preserve">Trường bắt buộc: Vacancy Name, Job Title, Hiring Manager</t>
  </si>
  <si>
    <t xml:space="preserve">Kiểm tra Number of Positions tại giá trị biên</t>
  </si>
  <si>
    <t xml:space="preserve">Boundary; giới hạn theo hệ thống</t>
  </si>
  <si>
    <t xml:space="preserve">Kiểm tra Vacancy Name chứa ký tự tiếng Việt có dấu và số</t>
  </si>
  <si>
    <t xml:space="preserve">Thêm không hợp lệ</t>
  </si>
  <si>
    <t xml:space="preserve">Kiểm tra bỏ trống Vacancy Name</t>
  </si>
  <si>
    <t xml:space="preserve">Negative</t>
  </si>
  <si>
    <t xml:space="preserve">Kiểm tra bỏ trống Job Title</t>
  </si>
  <si>
    <t xml:space="preserve">Kiểm tra bỏ trống Hiring Manager</t>
  </si>
  <si>
    <t xml:space="preserve">Kiểm tra nhập Hiring Manager không tồn tại</t>
  </si>
  <si>
    <t xml:space="preserve">Kiểm tra Vacancy Name trùng vacancy đã tồn tại</t>
  </si>
  <si>
    <t xml:space="preserve">Kiểm tra Vacancy Name vượt độ dài tối đa (51 ký tự)</t>
  </si>
  <si>
    <t xml:space="preserve">Boundary; giới hạn 50 ký tự</t>
  </si>
  <si>
    <t xml:space="preserve">Kiểm tra Number of Positions nhập giá trị không hợp lệ</t>
  </si>
  <si>
    <t xml:space="preserve">Kiểm tra Vacancy Name chứa mã script (XSS)</t>
  </si>
  <si>
    <t xml:space="preserve">Security; Negative</t>
  </si>
  <si>
    <t xml:space="preserve">Kiểm tra nhấn [Cancel] khi đang thêm vacancy</t>
  </si>
  <si>
    <t xml:space="preserve">Kiểm tra nhấn [Save] nhiều lần liên tiếp</t>
  </si>
  <si>
    <t xml:space="preserve">Exception</t>
  </si>
  <si>
    <t xml:space="preserve">10.3. Tìm kiếm &amp; lọc vacancy</t>
  </si>
  <si>
    <t xml:space="preserve">Lọc theo từng tiêu chí</t>
  </si>
  <si>
    <t xml:space="preserve">Kiểm tra lọc theo Job Title</t>
  </si>
  <si>
    <t xml:space="preserve">Kiểm tra lọc theo Vacancy</t>
  </si>
  <si>
    <t xml:space="preserve">Kiểm tra lọc theo Hiring Manager</t>
  </si>
  <si>
    <t xml:space="preserve">Kiểm tra lọc theo Status (Active và Closed)</t>
  </si>
  <si>
    <t xml:space="preserve">Kết hợp &amp; ngoại lệ</t>
  </si>
  <si>
    <t xml:space="preserve">Kiểm tra kết hợp nhiều tiêu chí lọc</t>
  </si>
  <si>
    <t xml:space="preserve">Kiểm tra nhấn [Reset] xóa bộ lọc</t>
  </si>
  <si>
    <t xml:space="preserve">Kiểm tra lọc không có kết quả</t>
  </si>
  <si>
    <t xml:space="preserve">10.4. Sửa vacancy</t>
  </si>
  <si>
    <t xml:space="preserve">Sửa hợp lệ</t>
  </si>
  <si>
    <t xml:space="preserve">Kiểm tra sửa Vacancy Name và Description hợp lệ</t>
  </si>
  <si>
    <t xml:space="preserve">Kiểm tra tắt Active, trạng thái vacancy chuyển Closed</t>
  </si>
  <si>
    <t xml:space="preserve">Sửa không hợp lệ</t>
  </si>
  <si>
    <t xml:space="preserve">Kiểm tra sửa Vacancy Name trùng vacancy khác</t>
  </si>
  <si>
    <t xml:space="preserve">Kiểm tra xóa trống trường bắt buộc khi sửa</t>
  </si>
  <si>
    <t xml:space="preserve">Kiểm tra nhấn [Cancel] khi sửa vacancy</t>
  </si>
  <si>
    <t xml:space="preserve">10.5. Xóa vacancy</t>
  </si>
  <si>
    <t xml:space="preserve">Xóa vacancy</t>
  </si>
  <si>
    <t xml:space="preserve">Kiểm tra xóa một vacancy và xác nhận xóa</t>
  </si>
  <si>
    <t xml:space="preserve">Kiểm tra nhấn [Cancel] ở popup xác nhận xóa</t>
  </si>
  <si>
    <t xml:space="preserve">Kiểm tra chọn nhiều vacancy và xóa cùng lúc</t>
  </si>
  <si>
    <t xml:space="preserve">Kiểm tra xóa vacancy đang có ứng viên ứng tuyển</t>
  </si>
  <si>
    <t xml:space="preserve">Exception; chạy sau khi hoàn thành F11, F12 vì xóa vacancy QA Intern G10 001</t>
  </si>
  <si>
    <t xml:space="preserve">F11. Thêm và tìm kiếm ứng viên</t>
  </si>
  <si>
    <t xml:space="preserve">11.1. Hiển thị</t>
  </si>
  <si>
    <t xml:space="preserve">Danh sách &amp; form</t>
  </si>
  <si>
    <t xml:space="preserve">Kiểm tra danh sách ứng viên hiển thị đủ các cột</t>
  </si>
  <si>
    <t xml:space="preserve">Kiểm tra bộ lọc ứng viên hiển thị đủ các trường</t>
  </si>
  <si>
    <t xml:space="preserve">Kiểm tra form [Add Candidate] hiển thị đủ các trường</t>
  </si>
  <si>
    <t xml:space="preserve">11.2. Thêm ứng viên</t>
  </si>
  <si>
    <t xml:space="preserve">Kiểm tra thêm ứng viên với đầy đủ thông tin hợp lệ</t>
  </si>
  <si>
    <t xml:space="preserve">Kiểm tra thêm ứng viên chỉ với trường bắt buộc</t>
  </si>
  <si>
    <t xml:space="preserve">Trường bắt buộc: First Name, Last Name, Email</t>
  </si>
  <si>
    <t xml:space="preserve">Kiểm tra thêm ứng viên gắn với vacancy đã chọn</t>
  </si>
  <si>
    <t xml:space="preserve">Kiểm tra tải lên Resume đúng định dạng cho phép</t>
  </si>
  <si>
    <t xml:space="preserve">Định dạng: docx, doc, odt, pdf, rtf, txt</t>
  </si>
  <si>
    <t xml:space="preserve">Kiểm tra tải lên Resume có dung lượng đúng 1MB</t>
  </si>
  <si>
    <t xml:space="preserve">Boundary; giới hạn 1MB</t>
  </si>
  <si>
    <t xml:space="preserve">Kiểm tra thêm ứng viên có tên tiếng Việt có dấu</t>
  </si>
  <si>
    <t xml:space="preserve">Kiểm tra bỏ trống First Name</t>
  </si>
  <si>
    <t xml:space="preserve">Kiểm tra bỏ trống Last Name</t>
  </si>
  <si>
    <t xml:space="preserve">Kiểm tra bỏ trống Email</t>
  </si>
  <si>
    <t xml:space="preserve">Kiểm tra nhập Email sai định dạng</t>
  </si>
  <si>
    <t xml:space="preserve">Kiểm tra nhập Contact Number chứa chữ cái</t>
  </si>
  <si>
    <t xml:space="preserve">Kiểm tra First Name vượt độ dài tối đa (31 ký tự)</t>
  </si>
  <si>
    <t xml:space="preserve">Boundary; giới hạn 30 ký tự</t>
  </si>
  <si>
    <t xml:space="preserve">Kiểm tra tải lên Resume sai định dạng</t>
  </si>
  <si>
    <t xml:space="preserve">Kiểm tra tải lên Resume vượt dung lượng tối đa</t>
  </si>
  <si>
    <t xml:space="preserve">Negative; Boundary</t>
  </si>
  <si>
    <t xml:space="preserve">Kiểm tra nhập Date of Application sai định dạng</t>
  </si>
  <si>
    <t xml:space="preserve">Kiểm tra nhập mã script vào Keywords và Notes (XSS)</t>
  </si>
  <si>
    <t xml:space="preserve">Kiểm tra nhấn [Cancel] khi đang thêm ứng viên</t>
  </si>
  <si>
    <t xml:space="preserve">11.3. Tìm kiếm ứng viên</t>
  </si>
  <si>
    <t xml:space="preserve">Tìm theo từng tiêu chí</t>
  </si>
  <si>
    <t xml:space="preserve">Kiểm tra tìm theo Candidate Name (chọn gợi ý)</t>
  </si>
  <si>
    <t xml:space="preserve">Kiểm tra Candidate Name nhập tên không tồn tại</t>
  </si>
  <si>
    <t xml:space="preserve">Kiểm tra lọc theo Status</t>
  </si>
  <si>
    <t xml:space="preserve">Kiểm tra tìm theo Keywords</t>
  </si>
  <si>
    <t xml:space="preserve">Kiểm tra lọc theo khoảng Date of Application hợp lệ</t>
  </si>
  <si>
    <t xml:space="preserve">Kiểm tra Date of Application: ngày From lớn hơn ngày To</t>
  </si>
  <si>
    <t xml:space="preserve">Kiểm tra lọc theo Method of Application</t>
  </si>
  <si>
    <t xml:space="preserve">Kiểm tra kết hợp nhiều tiêu chí tìm kiếm</t>
  </si>
  <si>
    <t xml:space="preserve">Kiểm tra tìm kiếm không có kết quả</t>
  </si>
  <si>
    <t xml:space="preserve">11.4. Xem chi tiết &amp; xóa ứng viên</t>
  </si>
  <si>
    <t xml:space="preserve">Xem &amp; xóa</t>
  </si>
  <si>
    <t xml:space="preserve">Kiểm tra xem chi tiết ứng viên</t>
  </si>
  <si>
    <t xml:space="preserve">Kiểm tra xóa ứng viên và xác nhận xóa</t>
  </si>
  <si>
    <t xml:space="preserve">F12. Cập nhật trạng thái ứng viên</t>
  </si>
  <si>
    <t xml:space="preserve">12.1. Hiển thị</t>
  </si>
  <si>
    <t xml:space="preserve">Application Stage</t>
  </si>
  <si>
    <t xml:space="preserve">Kiểm tra trạng thái ban đầu và các nút thao tác của ứng viên mới</t>
  </si>
  <si>
    <t xml:space="preserve">Kiểm tra thông tin ứng viên hiển thị đúng ở trang chi tiết</t>
  </si>
  <si>
    <t xml:space="preserve">12.2. Cập nhật trạng thái hợp lệ</t>
  </si>
  <si>
    <t xml:space="preserve">Shortlist / Reject</t>
  </si>
  <si>
    <t xml:space="preserve">Kiểm tra Shortlist ứng viên kèm ghi chú</t>
  </si>
  <si>
    <t xml:space="preserve">Kiểm tra Shortlist ứng viên không nhập ghi chú</t>
  </si>
  <si>
    <t xml:space="preserve">Kiểm tra Reject ứng viên ở trạng thái Application Initiated</t>
  </si>
  <si>
    <t xml:space="preserve">Kiểm tra Reject ứng viên ở trạng thái Shortlisted</t>
  </si>
  <si>
    <t xml:space="preserve">Phỏng vấn</t>
  </si>
  <si>
    <t xml:space="preserve">Kiểm tra lên lịch phỏng vấn với đầy đủ thông tin</t>
  </si>
  <si>
    <t xml:space="preserve">Kiểm tra lên lịch phỏng vấn chỉ với trường bắt buộc</t>
  </si>
  <si>
    <t xml:space="preserve">Bắt buộc: Interview Title, Interviewer, Date</t>
  </si>
  <si>
    <t xml:space="preserve">Kiểm tra đánh dấu Interview Passed</t>
  </si>
  <si>
    <t xml:space="preserve">Kiểm tra đánh dấu Interview Failed</t>
  </si>
  <si>
    <t xml:space="preserve">Offer &amp; Hire</t>
  </si>
  <si>
    <t xml:space="preserve">Kiểm tra Offer Job cho ứng viên Interview Passed</t>
  </si>
  <si>
    <t xml:space="preserve">Kiểm tra Decline Offer</t>
  </si>
  <si>
    <t xml:space="preserve">Kiểm tra Hire ứng viên</t>
  </si>
  <si>
    <t xml:space="preserve">Kiểm tra luồng đầy đủ: Initiated → Shortlisted → Interview Scheduled → Interview Passed → Job Offered → Hired</t>
  </si>
  <si>
    <t xml:space="preserve">End-to-end</t>
  </si>
  <si>
    <t xml:space="preserve">12.3. Cập nhật không hợp lệ &amp; ngoại lệ</t>
  </si>
  <si>
    <t xml:space="preserve">Lên lịch phỏng vấn không hợp lệ</t>
  </si>
  <si>
    <t xml:space="preserve">Kiểm tra bỏ trống Interview Title</t>
  </si>
  <si>
    <t xml:space="preserve">Kiểm tra bỏ trống Interviewer</t>
  </si>
  <si>
    <t xml:space="preserve">Kiểm tra bỏ trống Date</t>
  </si>
  <si>
    <t xml:space="preserve">Kiểm tra nhập Interviewer không tồn tại</t>
  </si>
  <si>
    <t xml:space="preserve">Kiểm tra nhập Date sai định dạng</t>
  </si>
  <si>
    <t xml:space="preserve">Kiểm tra Notes vượt độ dài tối đa (251 ký tự)</t>
  </si>
  <si>
    <t xml:space="preserve">Boundary; giới hạn 250 ký tự</t>
  </si>
  <si>
    <t xml:space="preserve">Workflow &amp; ngoại lệ</t>
  </si>
  <si>
    <t xml:space="preserve">Kiểm tra nhấn [Cancel] khi đang cập nhật trạng thái</t>
  </si>
  <si>
    <t xml:space="preserve">Kiểm tra ứng viên Hired không còn thao tác chuyển trạng thái sai workflow</t>
  </si>
  <si>
    <t xml:space="preserve">Negative; Workflow</t>
  </si>
  <si>
    <t xml:space="preserve">Kiểm tra các nút thao tác phù hợp với từng trạng thái hiện tại</t>
  </si>
  <si>
    <t xml:space="preserve">Workflow</t>
  </si>
  <si>
    <t xml:space="preserve">Kiểm tra nhấn [Save] nhiều lần liên tiếp khi cập nhật trạng thái</t>
  </si>
  <si>
    <t xml:space="preserve">Kiểm tra tải lại trang (F5) sau khi cập nhật trạng thái</t>
  </si>
  <si>
    <t xml:space="preserve">12.4. Đồng bộ trạng thái &amp; lịch sử</t>
  </si>
  <si>
    <t xml:space="preserve">Đồng bộ &amp; lịch sử</t>
  </si>
  <si>
    <t xml:space="preserve">Kiểm tra trạng thái được cập nhật ở danh sách Candidates</t>
  </si>
  <si>
    <t xml:space="preserve">Kiểm tra lọc ứng viên theo trạng thái mới</t>
  </si>
  <si>
    <t xml:space="preserve">Kiểm tra lịch sử thay đổi trạng thái</t>
  </si>
  <si>
    <t xml:space="preserve"> </t>
  </si>
  <si>
    <t xml:space="preserve">Module Code</t>
  </si>
  <si>
    <t xml:space="preserve">OHRM_REC_Vacancy</t>
  </si>
  <si>
    <t xml:space="preserve">Pass</t>
  </si>
  <si>
    <t xml:space="preserve">Test requirement</t>
  </si>
  <si>
    <t xml:space="preserve">F10. Quản lý vacancy (TV4 - Recruitment)</t>
  </si>
  <si>
    <t xml:space="preserve">Fail</t>
  </si>
  <si>
    <t xml:space="preserve">Req ID</t>
  </si>
  <si>
    <t xml:space="preserve">F10</t>
  </si>
  <si>
    <t xml:space="preserve">Untested</t>
  </si>
  <si>
    <t xml:space="preserve">Tester</t>
  </si>
  <si>
    <t xml:space="preserve">Blocked</t>
  </si>
  <si>
    <t xml:space="preserve">Skipped</t>
  </si>
  <si>
    <t xml:space="preserve">Number of Test cases</t>
  </si>
  <si>
    <t xml:space="preserve">Cancel</t>
  </si>
  <si>
    <t xml:space="preserve">Test Case ID</t>
  </si>
  <si>
    <t xml:space="preserve">Test Case Description</t>
  </si>
  <si>
    <t xml:space="preserve">Test Case Procedure</t>
  </si>
  <si>
    <t xml:space="preserve">Expected Output</t>
  </si>
  <si>
    <t xml:space="preserve">Inter-test case Dependence</t>
  </si>
  <si>
    <t xml:space="preserve">Result</t>
  </si>
  <si>
    <t xml:space="preserve">Test date</t>
  </si>
  <si>
    <t xml:space="preserve">Priority</t>
  </si>
  <si>
    <t xml:space="preserve">Chrome - https://opensource-demo.orangehrmlive.com/web/index.php/auth/login</t>
  </si>
  <si>
    <t xml:space="preserve">T-F10-001</t>
  </si>
  <si>
    <t xml:space="preserve">Tiền điều kiện: Truy cập https://opensource-demo.orangehrmlive.com/web/index.php/auth/login, đăng nhập Admin / admin123.
1. Mở menu bên trái của OrangeHRM.
2. Nhấp vào [Recruitment].</t>
  </si>
  <si>
    <t xml:space="preserve">1. Menu [Recruitment] hiển thị trong thanh bên trái.
2. Chuyển sang trang Recruitment, tab [Candidates] được mở mặc định.</t>
  </si>
  <si>
    <t xml:space="preserve">High</t>
  </si>
  <si>
    <t xml:space="preserve">T-F10-002</t>
  </si>
  <si>
    <t xml:space="preserve">Tiền điều kiện: Truy cập https://opensource-demo.orangehrmlive.com/web/index.php/auth/login, đăng nhập Admin / admin123.
1. Tại trang Recruitment, nhấp tab [Vacancies].</t>
  </si>
  <si>
    <t xml:space="preserve">Hiển thị trang danh sách Vacancies, URL chứa /recruitment/viewJobVacancy.</t>
  </si>
  <si>
    <t xml:space="preserve">T-F10-003</t>
  </si>
  <si>
    <t xml:space="preserve">Tiền điều kiện: Truy cập https://opensource-demo.orangehrmlive.com/web/index.php/auth/login, đăng nhập Admin / admin123; đang ở Recruitment &gt; tab Vacancies.
1. Quan sát bảng danh sách tại tab [Vacancies].</t>
  </si>
  <si>
    <t xml:space="preserve">1. Bảng có các cột: Vacancy, Job Title, Hiring Manager, Status, Actions.
2. Hiển thị dòng "(n) Records Found" khớp số dòng thực tế và nút [+ Add].</t>
  </si>
  <si>
    <t xml:space="preserve">Medium</t>
  </si>
  <si>
    <t xml:space="preserve">T-F10-004</t>
  </si>
  <si>
    <t xml:space="preserve">Tiền điều kiện: Truy cập https://opensource-demo.orangehrmlive.com/web/index.php/auth/login, đăng nhập Admin / admin123; đang ở Recruitment &gt; tab Vacancies.
1. Quan sát khu vực bộ lọc phía trên danh sách.</t>
  </si>
  <si>
    <t xml:space="preserve">1. Có các trường: Job Title, Vacancy, Hiring Manager, Status.
2. Có nút [Reset] và [Search].</t>
  </si>
  <si>
    <t xml:space="preserve">T-F10-005</t>
  </si>
  <si>
    <t xml:space="preserve">Tiền điều kiện: Truy cập https://opensource-demo.orangehrmlive.com/web/index.php/auth/login, đăng nhập Admin / admin123; đang ở Recruitment &gt; tab Vacancies.
1. Nhấp [+ Add].
2. Nhập Vacancy Name = "QA Intern G10 001"
3. Chọn Job Title = "QA Engineer"
4. Nhập Description = "Tuyển thực tập sinh kiểm thử"
5. Nhập Hiring Manager = "a" và chọn một gợi ý.
6. Nhập Number of Positions = 3, bật Active và Publish in RSS Feed and Web Page.
7. Nhấp [Save].</t>
  </si>
  <si>
    <t xml:space="preserve">1. Hiển thị thông báo "Successfully Saved"
2. Chuyển sang trang Edit Vacancy, các trường hiển thị đúng dữ liệu vừa nhập.
3. Vacancy mới xuất hiện trong danh sách với Status = Active.</t>
  </si>
  <si>
    <t xml:space="preserve">T-F10-006</t>
  </si>
  <si>
    <t xml:space="preserve">Tiền điều kiện: Truy cập https://opensource-demo.orangehrmlive.com/web/index.php/auth/login, đăng nhập Admin / admin123; đang ở Recruitment &gt; tab Vacancies.
1. Nhấp [+ Add].
2. Nhập Vacancy Name = "QA Intern G10 002"
3. Chọn Job Title = "QA Engineer"
4. Chọn một Hiring Manager từ gợi ý.
5. Nhấp [Save].</t>
  </si>
  <si>
    <t xml:space="preserve">Hiển thị "Successfully Saved" và tạo vacancy thành công.</t>
  </si>
  <si>
    <t xml:space="preserve">T-F10-007</t>
  </si>
  <si>
    <t xml:space="preserve">Tiền điều kiện: Truy cập https://opensource-demo.orangehrmlive.com/web/index.php/auth/login, đăng nhập Admin / admin123; đang ở Recruitment &gt; tab Vacancies.
1. Thêm vacancy "QA Intern G10 P1" với Number of Positions = 1 (các trường khác hợp lệ)
2. Thêm vacancy "QA Intern G10 P99" với Number of Positions = 99.</t>
  </si>
  <si>
    <t xml:space="preserve">Cả hai vacancy được lưu thành công với số lượng đúng (dùng lại cho TC xóa nhiều vacancy)</t>
  </si>
  <si>
    <t xml:space="preserve">T-F10-008</t>
  </si>
  <si>
    <t xml:space="preserve">Tiền điều kiện: Truy cập https://opensource-demo.orangehrmlive.com/web/index.php/auth/login, đăng nhập Admin / admin123; đang ở Recruitment &gt; tab Vacancies.
1. Nhập Vacancy Name = "Chuyên viên tuyển dụng 2026"
2. Nhập các trường bắt buộc còn lại hợp lệ.
3. Nhấp [Save].</t>
  </si>
  <si>
    <t xml:space="preserve">Lưu thành công, tên hiển thị đúng dấu tiếng Việt trong danh sách.</t>
  </si>
  <si>
    <t xml:space="preserve">T-F10-009</t>
  </si>
  <si>
    <t xml:space="preserve">Tiền điều kiện: Truy cập https://opensource-demo.orangehrmlive.com/web/index.php/auth/login, đăng nhập Admin / admin123; đang ở Recruitment &gt; tab Vacancies.
1. Nhấp [+ Add].
2. Để trống Vacancy Name, nhập các trường bắt buộc khác hợp lệ.
3. Nhấp [Save].</t>
  </si>
  <si>
    <t xml:space="preserve">1. Hiển thị lỗi "Required" dưới trường Vacancy Name.
2. Không tạo vacancy.</t>
  </si>
  <si>
    <t xml:space="preserve">T-F10-010</t>
  </si>
  <si>
    <t xml:space="preserve">Tiền điều kiện: Truy cập https://opensource-demo.orangehrmlive.com/web/index.php/auth/login, đăng nhập Admin / admin123; đang ở Recruitment &gt; tab Vacancies.
1. Nhấp [+ Add].
2. Nhập Vacancy Name hợp lệ, để trống Job Title.
3. Nhấp [Save].</t>
  </si>
  <si>
    <t xml:space="preserve">1. Hiển thị lỗi "Required" dưới trường Job Title.
2. Không tạo vacancy.</t>
  </si>
  <si>
    <t xml:space="preserve">T-F10-011</t>
  </si>
  <si>
    <t xml:space="preserve">Tiền điều kiện: Truy cập https://opensource-demo.orangehrmlive.com/web/index.php/auth/login, đăng nhập Admin / admin123; đang ở Recruitment &gt; tab Vacancies.
1. Nhấp [+ Add].
2. Nhập Vacancy Name, Job Title hợp lệ, để trống Hiring Manager.
3. Nhấp [Save].</t>
  </si>
  <si>
    <t xml:space="preserve">1. Hiển thị lỗi "Required" dưới trường Hiring Manager.
2. Không tạo vacancy.</t>
  </si>
  <si>
    <t xml:space="preserve">T-F10-012</t>
  </si>
  <si>
    <t xml:space="preserve">Tiền điều kiện: Truy cập https://opensource-demo.orangehrmlive.com/web/index.php/auth/login, đăng nhập Admin / admin123; đang ở Recruitment &gt; tab Vacancies.
1. Nhấp [+ Add].
2. Nhập Hiring Manager = "zzzzqqq" (không chọn gợi ý)
3. Nhập các trường khác hợp lệ, nhấp [Save].</t>
  </si>
  <si>
    <t xml:space="preserve">1. Hiển thị lỗi "Invalid" tại trường Hiring Manager.
2. Không tạo vacancy.</t>
  </si>
  <si>
    <t xml:space="preserve">T-F10-013</t>
  </si>
  <si>
    <t xml:space="preserve">Tiền điều kiện: Truy cập https://opensource-demo.orangehrmlive.com/web/index.php/auth/login, đăng nhập Admin / admin123; đang ở Recruitment &gt; tab Vacancies.
1. Nhấp [+ Add].
2. Nhập Vacancy Name = "QA Intern G10 001" (đã tồn tại), các trường khác hợp lệ.
3. Nhấp [Save].</t>
  </si>
  <si>
    <t xml:space="preserve">1. Hiển thị lỗi "Already exists" tại trường Vacancy Name.
2. Không tạo vacancy trùng.</t>
  </si>
  <si>
    <t xml:space="preserve">T-F10-014</t>
  </si>
  <si>
    <t xml:space="preserve">Tiền điều kiện: Truy cập https://opensource-demo.orangehrmlive.com/web/index.php/auth/login, đăng nhập Admin / admin123; đang ở Recruitment &gt; tab Vacancies.
1. Nhấp [+ Add].
2. Nhập Vacancy Name gồm 51 ký tự.
3. Nhập các trường khác hợp lệ, nhấp [Save].</t>
  </si>
  <si>
    <t xml:space="preserve">1. Hiển thị lỗi "Should not exceed 50 characters"
2. Không tạo vacancy.</t>
  </si>
  <si>
    <t xml:space="preserve">T-F10-015</t>
  </si>
  <si>
    <t xml:space="preserve">Tiền điều kiện: Truy cập https://opensource-demo.orangehrmlive.com/web/index.php/auth/login, đăng nhập Admin / admin123; đang ở Recruitment &gt; tab Vacancies.
1. Nhấp [+ Add], nhập các trường bắt buộc hợp lệ.
2. Nhập Number of Positions = "abc", nhấp [Save].
3. Nhập Number of Positions = "-1", nhấp [Save].</t>
  </si>
  <si>
    <t xml:space="preserve">1. Hiển thị lỗi định dạng số tại Number of Positions ở cả hai trường hợp.
2. Không tạo vacancy.</t>
  </si>
  <si>
    <t xml:space="preserve">T-F10-016</t>
  </si>
  <si>
    <t xml:space="preserve">Tiền điều kiện: Truy cập https://opensource-demo.orangehrmlive.com/web/index.php/auth/login, đăng nhập Admin / admin123; đang ở Recruitment &gt; tab Vacancies.
1. Nhấp [+ Add].
2. Nhập Vacancy Name = "&lt;script&gt;alert('XSS')&lt;/script&gt;"
3. Nhập các trường khác hợp lệ, nhấp [Save].</t>
  </si>
  <si>
    <t xml:space="preserve">1. Script không được thực thi (không hiện hộp thoại alert)
2. Tên hiển thị dạng văn bản thường hoặc bị từ chối.</t>
  </si>
  <si>
    <t xml:space="preserve">T-F10-017</t>
  </si>
  <si>
    <t xml:space="preserve">Tiền điều kiện: Truy cập https://opensource-demo.orangehrmlive.com/web/index.php/auth/login, đăng nhập Admin / admin123; đang ở Recruitment &gt; tab Vacancies.
1. Nhấp [+ Add], nhập một số thông tin.
2. Nhấp [Cancel].</t>
  </si>
  <si>
    <t xml:space="preserve">1. Quay về danh sách Vacancies.
2. Không có vacancy mới được tạo.</t>
  </si>
  <si>
    <t xml:space="preserve">T-F10-018</t>
  </si>
  <si>
    <t xml:space="preserve">Tiền điều kiện: Truy cập https://opensource-demo.orangehrmlive.com/web/index.php/auth/login, đăng nhập Admin / admin123; đang ở Recruitment &gt; tab Vacancies.
1. Nhấp [+ Add], nhập dữ liệu hợp lệ (Vacancy Name = "QA Intern G10 003")
2. Nhấp nhanh [Save] 3 lần liên tiếp.</t>
  </si>
  <si>
    <t xml:space="preserve">Chỉ tạo 1 vacancy, không xuất hiện bản ghi trùng hoặc lỗi hệ thống.</t>
  </si>
  <si>
    <t xml:space="preserve">T-F10-019</t>
  </si>
  <si>
    <t xml:space="preserve">Tiền điều kiện: Truy cập https://opensource-demo.orangehrmlive.com/web/index.php/auth/login, đăng nhập Admin / admin123; đang ở Recruitment &gt; tab Vacancies.
1. Chọn Job Title = "QA Engineer"
2. Nhấp [Search].</t>
  </si>
  <si>
    <t xml:space="preserve">1. Chỉ hiển thị vacancy có Job Title = QA Engineer.
2. Số "Records Found" cập nhật đúng.</t>
  </si>
  <si>
    <t xml:space="preserve">T-F10-020</t>
  </si>
  <si>
    <t xml:space="preserve">Tiền điều kiện: Truy cập https://opensource-demo.orangehrmlive.com/web/index.php/auth/login, đăng nhập Admin / admin123; đang ở Recruitment &gt; tab Vacancies.
1. Chọn Vacancy = "QA Intern G10 001" trong dropdown.
2. Nhấp [Search].</t>
  </si>
  <si>
    <t xml:space="preserve">Chỉ hiển thị đúng vacancy đã chọn.</t>
  </si>
  <si>
    <t xml:space="preserve">T-F10-021</t>
  </si>
  <si>
    <t xml:space="preserve">Tiền điều kiện: Truy cập https://opensource-demo.orangehrmlive.com/web/index.php/auth/login, đăng nhập Admin / admin123; đang ở Recruitment &gt; tab Vacancies.
1. Chọn một Hiring Manager trong dropdown.
2. Nhấp [Search].</t>
  </si>
  <si>
    <t xml:space="preserve">Chỉ hiển thị vacancy thuộc Hiring Manager đã chọn.</t>
  </si>
  <si>
    <t xml:space="preserve">T-F10-022</t>
  </si>
  <si>
    <t xml:space="preserve">Tiền điều kiện: Truy cập https://opensource-demo.orangehrmlive.com/web/index.php/auth/login, đăng nhập Admin / admin123; đang ở Recruitment &gt; tab Vacancies.
1. Chọn Status = "Active", nhấp [Search].
2. Chọn Status = "Closed", nhấp [Search].</t>
  </si>
  <si>
    <t xml:space="preserve">1. Lần 1: chỉ hiển thị vacancy Active.
2. Lần 2: chỉ hiển thị vacancy Closed.</t>
  </si>
  <si>
    <t xml:space="preserve">T-F10-023</t>
  </si>
  <si>
    <t xml:space="preserve">Tiền điều kiện: Truy cập https://opensource-demo.orangehrmlive.com/web/index.php/auth/login, đăng nhập Admin / admin123; đang ở Recruitment &gt; tab Vacancies.
1. Chọn Job Title = "QA Engineer" và Status = "Active"
2. Nhấp [Search].</t>
  </si>
  <si>
    <t xml:space="preserve">Danh sách thỏa đồng thời tất cả điều kiện lọc.</t>
  </si>
  <si>
    <t xml:space="preserve">T-F10-024</t>
  </si>
  <si>
    <t xml:space="preserve">Tiền điều kiện: Truy cập https://opensource-demo.orangehrmlive.com/web/index.php/auth/login, đăng nhập Admin / admin123; đang ở Recruitment &gt; tab Vacancies.
1. Chọn một số tiêu chí và nhấp [Search].
2. Nhấp [Reset].</t>
  </si>
  <si>
    <t xml:space="preserve">1. Các trường lọc về giá trị mặc định (-- Select --)
2. Danh sách hiển thị đầy đủ như ban đầu.</t>
  </si>
  <si>
    <t xml:space="preserve">T-F10-025</t>
  </si>
  <si>
    <t xml:space="preserve">Tiền điều kiện: Truy cập https://opensource-demo.orangehrmlive.com/web/index.php/auth/login, đăng nhập Admin / admin123; đang ở Recruitment &gt; tab Vacancies.
1. Chọn tổ hợp không tồn tại (Job Title = "HR Manager", Status = "Closed", Vacancy chưa tạo)
2. Nhấp [Search].</t>
  </si>
  <si>
    <t xml:space="preserve">1. Hiển thị "No Records Found"
2. Không hiển thị lỗi hệ thống.</t>
  </si>
  <si>
    <t xml:space="preserve">T-F10-026</t>
  </si>
  <si>
    <t xml:space="preserve">Tiền điều kiện: Truy cập https://opensource-demo.orangehrmlive.com/web/index.php/auth/login, đăng nhập Admin / admin123; đang ở Recruitment &gt; tab Vacancies.
1. Nhấp icon bút chì (Edit) của vacancy "QA Intern G10 002"
2. Sửa Vacancy Name = "QA Intern G10 002 - Edited", Description mới.
3. Nhấp [Save].</t>
  </si>
  <si>
    <t xml:space="preserve">1. Hiển thị "Successfully Updated"
2. Danh sách hiển thị tên mới.</t>
  </si>
  <si>
    <t xml:space="preserve">T-F10-027</t>
  </si>
  <si>
    <t xml:space="preserve">Tiền điều kiện: Truy cập https://opensource-demo.orangehrmlive.com/web/index.php/auth/login, đăng nhập Admin / admin123; đang ở Recruitment &gt; tab Vacancies.
1. Mở Edit vacancy "QA Intern G10 002 - Edited", tắt công tắc Active.
2. Nhấp [Save].
3. Quay lại danh sách Vacancies.</t>
  </si>
  <si>
    <t xml:space="preserve">1. Lưu thành công.
2. Vacancy hiển thị Status = Closed.</t>
  </si>
  <si>
    <t xml:space="preserve">T-F10-028</t>
  </si>
  <si>
    <t xml:space="preserve">Tiền điều kiện: Truy cập https://opensource-demo.orangehrmlive.com/web/index.php/auth/login, đăng nhập Admin / admin123; đang ở Recruitment &gt; tab Vacancies.
1. Mở Edit vacancy "QA Intern G10 002 - Edited"
2. Đổi Vacancy Name thành "QA Intern G10 001" (đã tồn tại)
3. Nhấp [Save].</t>
  </si>
  <si>
    <t xml:space="preserve">1. Hiển thị lỗi "Already exists"
2. Dữ liệu không bị thay đổi.</t>
  </si>
  <si>
    <t xml:space="preserve">T-F10-029</t>
  </si>
  <si>
    <t xml:space="preserve">Tiền điều kiện: Truy cập https://opensource-demo.orangehrmlive.com/web/index.php/auth/login, đăng nhập Admin / admin123; đang ở Recruitment &gt; tab Vacancies.
1. Mở Edit vacancy, xóa trống Vacancy Name.
2. Nhấp [Save].</t>
  </si>
  <si>
    <t xml:space="preserve">1. Hiển thị lỗi "Required"
2. Không lưu thay đổi.</t>
  </si>
  <si>
    <t xml:space="preserve">T-F10-030</t>
  </si>
  <si>
    <t xml:space="preserve">Tiền điều kiện: Truy cập https://opensource-demo.orangehrmlive.com/web/index.php/auth/login, đăng nhập Admin / admin123; đang ở Recruitment &gt; tab Vacancies.
1. Mở Edit vacancy, sửa Vacancy Name.
2. Nhấp [Cancel].</t>
  </si>
  <si>
    <t xml:space="preserve">Quay về danh sách, tên vacancy giữ nguyên như cũ.</t>
  </si>
  <si>
    <t xml:space="preserve">Low</t>
  </si>
  <si>
    <t xml:space="preserve">T-F10-031</t>
  </si>
  <si>
    <t xml:space="preserve">Tiền điều kiện: Truy cập https://opensource-demo.orangehrmlive.com/web/index.php/auth/login, đăng nhập Admin / admin123; đang ở Recruitment &gt; tab Vacancies.
1. Nhấp icon thùng rác của vacancy "QA Intern G10 003"
2. Tại popup "Are you sure?", nhấp [Yes, Delete].</t>
  </si>
  <si>
    <t xml:space="preserve">1. Hiển thị "Successfully Deleted"
2. Vacancy không còn trong danh sách.</t>
  </si>
  <si>
    <t xml:space="preserve">T-F10-032</t>
  </si>
  <si>
    <t xml:space="preserve">Tiền điều kiện: Truy cập https://opensource-demo.orangehrmlive.com/web/index.php/auth/login, đăng nhập Admin / admin123; đang ở Recruitment &gt; tab Vacancies.
1. Nhấp icon thùng rác của một vacancy.
2. Tại popup xác nhận, nhấp [No, Cancel].</t>
  </si>
  <si>
    <t xml:space="preserve">Popup đóng, vacancy vẫn còn trong danh sách.</t>
  </si>
  <si>
    <t xml:space="preserve">T-F10-033</t>
  </si>
  <si>
    <t xml:space="preserve">Tiền điều kiện: Truy cập https://opensource-demo.orangehrmlive.com/web/index.php/auth/login, đăng nhập Admin / admin123; đang ở Recruitment &gt; tab Vacancies.
1. Tích chọn 2 vacancy "QA Intern G10 P1" và "QA Intern G10 P99"
2. Nhấp [Delete Selected].
3. Xác nhận [Yes, Delete].</t>
  </si>
  <si>
    <t xml:space="preserve">1. Hiển thị "(2) Records Selected" trước khi xóa.
2. Hiển thị "Successfully Deleted", cả 2 vacancy bị xóa.</t>
  </si>
  <si>
    <t xml:space="preserve">T-F10-034</t>
  </si>
  <si>
    <t xml:space="preserve">Tiền điều kiện: Truy cập https://opensource-demo.orangehrmlive.com/web/index.php/auth/login, đăng nhập Admin / admin123; đang ở Recruitment &gt; tab Vacancies.
1. Chọn vacancy đã có ứng viên.
2. Nhấp icon thùng rác và xác nhận xóa.</t>
  </si>
  <si>
    <t xml:space="preserve">Hệ thống xử lý đúng: xóa kèm cập nhật ứng viên hoặc thông báo không cho xóa, không lỗi hệ thống.</t>
  </si>
  <si>
    <t xml:space="preserve">T-F11-006</t>
  </si>
  <si>
    <t xml:space="preserve">Exception; chạy sau khi hoàn thành F11, F12 vì xóa vacancy QA Intern G10 001
Defect nghiệp vụ: Hệ thống cho phép xóa Vacancy đang có ứng viên ứng tuyển mà không có cảnh báo ràng buộc dữ liệu.</t>
  </si>
  <si>
    <t xml:space="preserve">OHRM_REC_Candidate</t>
  </si>
  <si>
    <t xml:space="preserve">F11. Thêm và tìm kiếm ứng viên (TV4 - Recruitment)</t>
  </si>
  <si>
    <t xml:space="preserve">F11</t>
  </si>
  <si>
    <t xml:space="preserve">T-F11-001</t>
  </si>
  <si>
    <t xml:space="preserve">Tiền điều kiện: Truy cập https://opensource-demo.orangehrmlive.com/web/index.php/auth/login, đăng nhập Admin / admin123.
1. Vào Recruitment &gt; tab [Candidates].</t>
  </si>
  <si>
    <t xml:space="preserve">1. Bảng có các cột: Vacancy, Candidate, Hiring Manager, Date of Application, Status, Actions.
2. Hiển thị dòng "(n) Records Found"</t>
  </si>
  <si>
    <t xml:space="preserve">T-F11-002</t>
  </si>
  <si>
    <t xml:space="preserve">Tiền điều kiện: Truy cập https://opensource-demo.orangehrmlive.com/web/index.php/auth/login, đăng nhập Admin / admin123; đang ở Recruitment &gt; tab Candidates.
1. Quan sát khu vực bộ lọc tại tab [Candidates].</t>
  </si>
  <si>
    <t xml:space="preserve">1. Có: Job Title, Vacancy, Hiring Manager, Status, Candidate Name, Keywords, Date of Application (From/To), Methods of Application.
2. Có nút [Reset], [Search].</t>
  </si>
  <si>
    <t xml:space="preserve">T-F11-003</t>
  </si>
  <si>
    <t xml:space="preserve">Tiền điều kiện: Truy cập https://opensource-demo.orangehrmlive.com/web/index.php/auth/login, đăng nhập Admin / admin123; đang ở Recruitment &gt; tab Candidates.
1. Nhấp [+ Add].</t>
  </si>
  <si>
    <t xml:space="preserve">1. Có: Full Name (First/Middle/Last), Vacancy, Email, Contact Number, Resume (Browse), Keywords, Date of Application, Notes, Consent to keep data.
2. Có nút [Cancel], [Save].</t>
  </si>
  <si>
    <t xml:space="preserve">T-F11-004</t>
  </si>
  <si>
    <t xml:space="preserve">Tiền điều kiện: Truy cập https://opensource-demo.orangehrmlive.com/web/index.php/auth/login, đăng nhập Admin / admin123; đang ở Recruitment &gt; tab Candidates.
1. Nhấp [+ Add].
2. Nhập First Name = "An", Middle Name = "Văn", Last Name = "Nguyễn"
3. Chọn Vacancy = "QA Intern G10 001"
4. Nhập Email = "an.nguyen@example.com", Contact Number = "0901234567"
5. Tải lên Resume "cv_an.pdf" (dưới 1MB)
6. Nhập Keywords = "selenium, java", Date of Application = ngày hiện tại, Notes = "Ứng viên test"
7. Tích Consent to keep data, nhấp [Save].</t>
  </si>
  <si>
    <t xml:space="preserve">1. Hiển thị "Successfully Saved"
2. Chuyển sang trang chi tiết ứng viên với Status = "Application Initiated"
3. Thông tin hiển thị đúng như đã nhập.</t>
  </si>
  <si>
    <t xml:space="preserve">T-F11-005</t>
  </si>
  <si>
    <t xml:space="preserve">Tiền điều kiện: Truy cập https://opensource-demo.orangehrmlive.com/web/index.php/auth/login, đăng nhập Admin / admin123; đang ở Recruitment &gt; tab Candidates.
1. Nhấp [+ Add].
2. Nhập First Name = "Bình", Last Name = "Trần", Email = "binh.tran@example.com"
3. Nhấp [Save].</t>
  </si>
  <si>
    <t xml:space="preserve">Hiển thị "Successfully Saved" và tạo ứng viên thành công.</t>
  </si>
  <si>
    <t xml:space="preserve">Tiền điều kiện: Truy cập https://opensource-demo.orangehrmlive.com/web/index.php/auth/login, đăng nhập Admin / admin123; đang ở Recruitment &gt; tab Candidates.
1. Nhấp [+ Add], nhập thông tin bắt buộc hợp lệ.
2. Chọn Vacancy = "QA Intern G10 001"
3. Nhấp [Save].
4. Vào danh sách Candidates.</t>
  </si>
  <si>
    <t xml:space="preserve">Ứng viên hiển thị với cột Vacancy = QA Intern G10 001 và Hiring Manager tương ứng.</t>
  </si>
  <si>
    <t xml:space="preserve">T-F11-007</t>
  </si>
  <si>
    <t xml:space="preserve">Tiền điều kiện: Truy cập https://opensource-demo.orangehrmlive.com/web/index.php/auth/login, đăng nhập Admin / admin123; đang ở Recruitment &gt; tab Candidates.
1. Thêm ứng viên hợp lệ, tải lên Resume "cv.docx"
2. Lặp lại với "cv.txt"</t>
  </si>
  <si>
    <t xml:space="preserve">Cả hai file được tải lên thành công, lưu ứng viên thành công.</t>
  </si>
  <si>
    <t xml:space="preserve">T-F11-008</t>
  </si>
  <si>
    <t xml:space="preserve">Tiền điều kiện: Truy cập https://opensource-demo.orangehrmlive.com/web/index.php/auth/login, đăng nhập Admin / admin123; đang ở Recruitment &gt; tab Candidates.
1. Thêm ứng viên hợp lệ.
2. Tải lên Resume .pdf dung lượng đúng 1MB.
3. Nhấp [Save].</t>
  </si>
  <si>
    <t xml:space="preserve">Tải lên và lưu thành công, không báo lỗi dung lượng.</t>
  </si>
  <si>
    <t xml:space="preserve">T-F11-009</t>
  </si>
  <si>
    <t xml:space="preserve">Tiền điều kiện: Truy cập https://opensource-demo.orangehrmlive.com/web/index.php/auth/login, đăng nhập Admin / admin123; đang ở Recruitment &gt; tab Candidates.
1. Nhập First Name = "Thị", Last Name = "Nguyễn Hoàng", Email hợp lệ.
2. Nhấp [Save].</t>
  </si>
  <si>
    <t xml:space="preserve">Lưu thành công, tên hiển thị đúng dấu trong danh sách.</t>
  </si>
  <si>
    <t xml:space="preserve">T-F11-010</t>
  </si>
  <si>
    <t xml:space="preserve">Tiền điều kiện: Truy cập https://opensource-demo.orangehrmlive.com/web/index.php/auth/login, đăng nhập Admin / admin123; đang ở Recruitment &gt; tab Candidates.
1. Nhấp [+ Add].
2. Để trống First Name, nhập Last Name và Email hợp lệ.
3. Nhấp [Save].</t>
  </si>
  <si>
    <t xml:space="preserve">1. Hiển thị lỗi "Required" dưới trường First Name.
2. Không tạo ứng viên.</t>
  </si>
  <si>
    <t xml:space="preserve">T-F11-011</t>
  </si>
  <si>
    <t xml:space="preserve">Tiền điều kiện: Truy cập https://opensource-demo.orangehrmlive.com/web/index.php/auth/login, đăng nhập Admin / admin123; đang ở Recruitment &gt; tab Candidates.
1. Nhấp [+ Add].
2. Để trống Last Name, nhập First Name và Email hợp lệ.
3. Nhấp [Save].</t>
  </si>
  <si>
    <t xml:space="preserve">1. Hiển thị lỗi "Required" dưới trường Last Name.
2. Không tạo ứng viên.</t>
  </si>
  <si>
    <t xml:space="preserve">T-F11-012</t>
  </si>
  <si>
    <t xml:space="preserve">Tiền điều kiện: Truy cập https://opensource-demo.orangehrmlive.com/web/index.php/auth/login, đăng nhập Admin / admin123; đang ở Recruitment &gt; tab Candidates.
1. Nhấp [+ Add].
2. Nhập First Name, Last Name, để trống Email.
3. Nhấp [Save].</t>
  </si>
  <si>
    <t xml:space="preserve">1. Hiển thị lỗi "Required" dưới trường Email.
2. Không tạo ứng viên.</t>
  </si>
  <si>
    <t xml:space="preserve">T-F11-013</t>
  </si>
  <si>
    <t xml:space="preserve">Tiền điều kiện: Truy cập https://opensource-demo.orangehrmlive.com/web/index.php/auth/login, đăng nhập Admin / admin123; đang ở Recruitment &gt; tab Candidates.
1. Nhấp [+ Add], nhập First Name, Last Name hợp lệ.
2. Nhập Email = "abc@", nhấp [Save].
3. Nhập Email = "abc.com", nhấp [Save].</t>
  </si>
  <si>
    <t xml:space="preserve">1. Hiển thị lỗi "Expected format: admin@example.com" ở cả hai trường hợp.
2. Không tạo ứng viên.</t>
  </si>
  <si>
    <t xml:space="preserve">T-F11-014</t>
  </si>
  <si>
    <t xml:space="preserve">Tiền điều kiện: Truy cập https://opensource-demo.orangehrmlive.com/web/index.php/auth/login, đăng nhập Admin / admin123; đang ở Recruitment &gt; tab Candidates.
1. Nhấp [+ Add], nhập thông tin bắt buộc hợp lệ.
2. Nhập Contact Number = "abc123"
3. Nhấp [Save].</t>
  </si>
  <si>
    <t xml:space="preserve">1. Hiển thị lỗi định dạng số điện thoại (chỉ cho phép số và + - / ( ))
2. Không tạo ứng viên.</t>
  </si>
  <si>
    <t xml:space="preserve">T-F11-015</t>
  </si>
  <si>
    <t xml:space="preserve">Tiền điều kiện: Truy cập https://opensource-demo.orangehrmlive.com/web/index.php/auth/login, đăng nhập Admin / admin123; đang ở Recruitment &gt; tab Candidates.
1. Nhấp [+ Add].
2. Nhập First Name gồm 31 ký tự, các trường bắt buộc khác hợp lệ.
3. Nhấp [Save].</t>
  </si>
  <si>
    <t xml:space="preserve">1. Hiển thị lỗi "Should not exceed 30 characters"
2. Không tạo ứng viên.</t>
  </si>
  <si>
    <t xml:space="preserve">T-F11-016</t>
  </si>
  <si>
    <t xml:space="preserve">Tiền điều kiện: Truy cập https://opensource-demo.orangehrmlive.com/web/index.php/auth/login, đăng nhập Admin / admin123; đang ở Recruitment &gt; tab Candidates.
1. Nhấp [+ Add], nhập thông tin bắt buộc hợp lệ.
2. Tải lên file "test.exe" hoặc "anh.jpg"</t>
  </si>
  <si>
    <t xml:space="preserve">1. Hiển thị lỗi "File type not allowed"
2. File không được chấp nhận.</t>
  </si>
  <si>
    <t xml:space="preserve">T-F11-017</t>
  </si>
  <si>
    <t xml:space="preserve">Tiền điều kiện: Truy cập https://opensource-demo.orangehrmlive.com/web/index.php/auth/login, đăng nhập Admin / admin123; đang ở Recruitment &gt; tab Candidates.
1. Nhấp [+ Add], nhập thông tin bắt buộc hợp lệ.
2. Tải lên file .pdf dung lượng 2MB.</t>
  </si>
  <si>
    <t xml:space="preserve">1. Hiển thị lỗi "Attachment Size Exceeded"
2. File không được chấp nhận.</t>
  </si>
  <si>
    <t xml:space="preserve">T-F11-018</t>
  </si>
  <si>
    <t xml:space="preserve">Tiền điều kiện: Truy cập https://opensource-demo.orangehrmlive.com/web/index.php/auth/login, đăng nhập Admin / admin123; đang ở Recruitment &gt; tab Candidates.
1. Nhấp [+ Add], nhập thông tin bắt buộc hợp lệ.
2. Nhập Date of Application = "abc"
3. Nhấp [Save].</t>
  </si>
  <si>
    <t xml:space="preserve">1. Hiển thị lỗi định dạng ngày hợp lệ.
2. Không tạo ứng viên.</t>
  </si>
  <si>
    <t xml:space="preserve">T-F11-019</t>
  </si>
  <si>
    <t xml:space="preserve">Tiền điều kiện: Truy cập https://opensource-demo.orangehrmlive.com/web/index.php/auth/login, đăng nhập Admin / admin123; đang ở Recruitment &gt; tab Candidates.
1. Nhấp [+ Add], nhập thông tin bắt buộc hợp lệ.
2. Nhập Keywords = "&lt;script&gt;alert(1)&lt;/script&gt;", Notes tương tự.
3. Nhấp [Save], mở chi tiết ứng viên.</t>
  </si>
  <si>
    <t xml:space="preserve">Script không được thực thi, nội dung hiển thị dạng văn bản.</t>
  </si>
  <si>
    <t xml:space="preserve">T-F11-020</t>
  </si>
  <si>
    <t xml:space="preserve">Tiền điều kiện: Truy cập https://opensource-demo.orangehrmlive.com/web/index.php/auth/login, đăng nhập Admin / admin123; đang ở Recruitment &gt; tab Candidates.
1. Nhấp [+ Add], nhập một số thông tin.
2. Nhấp [Cancel].</t>
  </si>
  <si>
    <t xml:space="preserve">1. Quay về danh sách Candidates.
2. Không có ứng viên mới được tạo.</t>
  </si>
  <si>
    <t xml:space="preserve">T-F11-021</t>
  </si>
  <si>
    <t xml:space="preserve">Tiền điều kiện: Truy cập https://opensource-demo.orangehrmlive.com/web/index.php/auth/login, đăng nhập Admin / admin123; đang ở Recruitment &gt; tab Candidates.
1. Nhập thông tin hợp lệ (First Name = "Dũng", Last Name = "Lê")
2. Nhấp nhanh [Save] 3 lần liên tiếp.</t>
  </si>
  <si>
    <t xml:space="preserve">Chỉ tạo 1 ứng viên, không có bản ghi trùng hoặc lỗi hệ thống.</t>
  </si>
  <si>
    <t xml:space="preserve">T-F11-022</t>
  </si>
  <si>
    <t xml:space="preserve">Tiền điều kiện: Truy cập https://opensource-demo.orangehrmlive.com/web/index.php/auth/login, đăng nhập Admin / admin123; đang ở Recruitment &gt; tab Candidates.
1. Nhập "An" vào ô Candidate Name.
2. Chọn "An Văn Nguyễn" trong danh sách gợi ý.
3. Nhấp [Search].</t>
  </si>
  <si>
    <t xml:space="preserve">Chỉ hiển thị ứng viên được chọn.</t>
  </si>
  <si>
    <t xml:space="preserve">T-F11-023</t>
  </si>
  <si>
    <t xml:space="preserve">Tiền điều kiện: Truy cập https://opensource-demo.orangehrmlive.com/web/index.php/auth/login, đăng nhập Admin / admin123; đang ở Recruitment &gt; tab Candidates.
1. Nhập "zzzzqqq" vào ô Candidate Name (không chọn gợi ý)
2. Nhấp [Search].</t>
  </si>
  <si>
    <t xml:space="preserve">1. Hiển thị lỗi "Invalid" hoặc "No Records Found" theo hệ thống.
2. Không lỗi hệ thống.</t>
  </si>
  <si>
    <t xml:space="preserve">T-F11-024</t>
  </si>
  <si>
    <t xml:space="preserve">Tiền điều kiện: Truy cập https://opensource-demo.orangehrmlive.com/web/index.php/auth/login, đăng nhập Admin / admin123; đang ở Recruitment &gt; tab Candidates.
1. Chọn Job Title = "QA Engineer"
2. Nhấp [Search].</t>
  </si>
  <si>
    <t xml:space="preserve">Chỉ hiển thị ứng viên của vacancy thuộc Job Title đã chọn.</t>
  </si>
  <si>
    <t xml:space="preserve">T-F11-025</t>
  </si>
  <si>
    <t xml:space="preserve">Tiền điều kiện: Truy cập https://opensource-demo.orangehrmlive.com/web/index.php/auth/login, đăng nhập Admin / admin123; đang ở Recruitment &gt; tab Candidates.
1. Chọn Vacancy = "QA Intern G10 001"
2. Nhấp [Search].</t>
  </si>
  <si>
    <t xml:space="preserve">Chỉ hiển thị ứng viên của vacancy đã chọn.</t>
  </si>
  <si>
    <t xml:space="preserve">T-F11-026</t>
  </si>
  <si>
    <t xml:space="preserve">Tiền điều kiện: Truy cập https://opensource-demo.orangehrmlive.com/web/index.php/auth/login, đăng nhập Admin / admin123; đang ở Recruitment &gt; tab Candidates.
1. Chọn một Hiring Manager.
2. Nhấp [Search].</t>
  </si>
  <si>
    <t xml:space="preserve">Chỉ hiển thị ứng viên thuộc Hiring Manager đã chọn.</t>
  </si>
  <si>
    <t xml:space="preserve">T-F11-027</t>
  </si>
  <si>
    <t xml:space="preserve">Tiền điều kiện: Truy cập https://opensource-demo.orangehrmlive.com/web/index.php/auth/login, đăng nhập Admin / admin123; đang ở Recruitment &gt; tab Candidates.
1. Chọn Status = "Application Initiated"
2. Nhấp [Search].</t>
  </si>
  <si>
    <t xml:space="preserve">Chỉ hiển thị ứng viên có Status = Application Initiated.</t>
  </si>
  <si>
    <t xml:space="preserve">T-F11-028</t>
  </si>
  <si>
    <t xml:space="preserve">Tiền điều kiện: Truy cập https://opensource-demo.orangehrmlive.com/web/index.php/auth/login, đăng nhập Admin / admin123; đang ở Recruitment &gt; tab Candidates.
1. Nhập Keywords = "selenium"
2. Nhấp [Search].</t>
  </si>
  <si>
    <t xml:space="preserve">Chỉ hiển thị ứng viên có từ khóa "selenium"</t>
  </si>
  <si>
    <t xml:space="preserve">T-F11-029</t>
  </si>
  <si>
    <t xml:space="preserve">Tiền điều kiện: Truy cập https://opensource-demo.orangehrmlive.com/web/index.php/auth/login, đăng nhập Admin / admin123; đang ở Recruitment &gt; tab Candidates.
1. Nhập From = đầu tháng hiện tại, To = ngày hiện tại.
2. Nhấp [Search].</t>
  </si>
  <si>
    <t xml:space="preserve">Chỉ hiển thị ứng viên có ngày nộp hồ sơ trong khoảng đã chọn.</t>
  </si>
  <si>
    <t xml:space="preserve">T-F11-030</t>
  </si>
  <si>
    <t xml:space="preserve">Tiền điều kiện: Truy cập https://opensource-demo.orangehrmlive.com/web/index.php/auth/login, đăng nhập Admin / admin123; đang ở Recruitment &gt; tab Candidates.
1. Nhập From = ngày hiện tại, To = 30 ngày trước đó.
2. Nhấp [Search].</t>
  </si>
  <si>
    <t xml:space="preserve">Hiển thị lỗi ngày không hợp lệ (To phải sau From), không thực hiện tìm kiếm.</t>
  </si>
  <si>
    <t xml:space="preserve">T-F11-031</t>
  </si>
  <si>
    <t xml:space="preserve">Tiền điều kiện: Truy cập https://opensource-demo.orangehrmlive.com/web/index.php/auth/login, đăng nhập Admin / admin123; đang ở Recruitment &gt; tab Candidates.
1. Chọn Method of Application = "Manual"
2. Nhấp [Search].</t>
  </si>
  <si>
    <t xml:space="preserve">Chỉ hiển thị ứng viên nhập thủ công (Manual)</t>
  </si>
  <si>
    <t xml:space="preserve">Defect phát hiện: Bộ lọc Method of Application = "Manual" lọc sai hoặc không hiển thị đủ danh sách ứng viên.</t>
  </si>
  <si>
    <t xml:space="preserve">T-F11-032</t>
  </si>
  <si>
    <t xml:space="preserve">Tiền điều kiện: Truy cập https://opensource-demo.orangehrmlive.com/web/index.php/auth/login, đăng nhập Admin / admin123; đang ở Recruitment &gt; tab Candidates.
1. Chọn Vacancy = "QA Intern G10 001", Status = "Application Initiated", Keywords = "selenium"
2. Nhấp [Search].</t>
  </si>
  <si>
    <t xml:space="preserve">Kết quả thỏa đồng thời tất cả điều kiện.</t>
  </si>
  <si>
    <t xml:space="preserve">T-F11-033</t>
  </si>
  <si>
    <t xml:space="preserve">Tiền điều kiện: Truy cập https://opensource-demo.orangehrmlive.com/web/index.php/auth/login, đăng nhập Admin / admin123; đang ở Recruitment &gt; tab Candidates.
1. Chọn một số tiêu chí và nhấp [Search].
2. Nhấp [Reset].</t>
  </si>
  <si>
    <t xml:space="preserve">1. Các trường lọc về mặc định.
2. Danh sách hiển thị đầy đủ như ban đầu.</t>
  </si>
  <si>
    <t xml:space="preserve">T-F11-034</t>
  </si>
  <si>
    <t xml:space="preserve">Tiền điều kiện: Truy cập https://opensource-demo.orangehrmlive.com/web/index.php/auth/login, đăng nhập Admin / admin123; đang ở Recruitment &gt; tab Candidates.
1. Nhập Keywords = "khongtontai999"
2. Nhấp [Search].</t>
  </si>
  <si>
    <t xml:space="preserve">1. Hiển thị "No Records Found"
2. Không lỗi hệ thống.</t>
  </si>
  <si>
    <t xml:space="preserve">T-F11-035</t>
  </si>
  <si>
    <t xml:space="preserve">Tiền điều kiện: Truy cập https://opensource-demo.orangehrmlive.com/web/index.php/auth/login, đăng nhập Admin / admin123; đang ở Recruitment &gt; tab Candidates.
1. Nhấp icon View (mắt) của ứng viên "An Văn Nguyễn"</t>
  </si>
  <si>
    <t xml:space="preserve">Mở trang chi tiết ứng viên với thông tin đúng như đã nhập (tên, email, vacancy, resume...)</t>
  </si>
  <si>
    <t xml:space="preserve">T-F11-036</t>
  </si>
  <si>
    <t xml:space="preserve">Tiền điều kiện: Truy cập https://opensource-demo.orangehrmlive.com/web/index.php/auth/login, đăng nhập Admin / admin123; đang ở Recruitment &gt; tab Candidates.
1. Nhấp icon thùng rác của ứng viên "Dũng Lê" (tạo ở TC lưu nhiều lần)
2. Tại popup "Are you sure?", nhấp [Yes, Delete].</t>
  </si>
  <si>
    <t xml:space="preserve">1. Hiển thị "Successfully Deleted"
2. Ứng viên không còn trong danh sách.</t>
  </si>
  <si>
    <t xml:space="preserve">OHRM_REC_Status</t>
  </si>
  <si>
    <t xml:space="preserve">F12. Cập nhật trạng thái ứng viên (TV4 - Recruitment)</t>
  </si>
  <si>
    <t xml:space="preserve">F12</t>
  </si>
  <si>
    <t xml:space="preserve">T-F12-001</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</si>
  <si>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Mở trang chi tiết ứng viên vừa tạo (T-F11-005)</t>
  </si>
  <si>
    <t xml:space="preserve">1. Phần Application Stage hiển thị Status = "Application Initiated"
2. Hiển thị nút [Reject] và [Shortlist].</t>
  </si>
  <si>
    <t xml:space="preserve">T-F12-002</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</si>
  <si>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Quan sát thông tin ứng viên (tên, vacancy, email, ngày nộp hồ sơ)</t>
  </si>
  <si>
    <t xml:space="preserve">Thông tin hiển thị đúng như khi thêm ứng viên.</t>
  </si>
  <si>
    <t xml:space="preserve">T-F12-003</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</si>
  <si>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[Shortlist].
2. Nhập Notes = "Hồ sơ phù hợp"
3. Nhấp [Save].</t>
  </si>
  <si>
    <t xml:space="preserve">1. Hiển thị "Successfully Saved"
2. Status chuyển "Shortlisted"
3. Hiển thị các nút [Reject] và [Schedule Interview].</t>
  </si>
  <si>
    <t xml:space="preserve">T-F12-004</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</si>
  <si>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[Shortlist].
2. Để trống Notes, nhấp [Save].</t>
  </si>
  <si>
    <t xml:space="preserve">Lưu thành công, Status = "Shortlisted"</t>
  </si>
  <si>
    <t xml:space="preserve">T-F12-005</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</si>
  <si>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[Reject].
2. Nhập Notes = "Không đủ kinh nghiệm"
3. Nhấp [Save].</t>
  </si>
  <si>
    <t xml:space="preserve">1. Hiển thị "Successfully Saved"
2. Status chuyển "Rejected"</t>
  </si>
  <si>
    <t xml:space="preserve">T-F12-006</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</si>
  <si>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Với ứng viên đã Shortlisted, nhấp [Reject].
2. Nhấp [Save].</t>
  </si>
  <si>
    <t xml:space="preserve">Status chuyển "Rejected"</t>
  </si>
  <si>
    <t xml:space="preserve">T-F12-007</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</si>
  <si>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Với ứng viên Shortlisted, nhấp [Schedule Interview].
2. Nhập Interview Title = "Phỏng vấn vòng 1"
3. Nhập Interviewer = "a" và chọn gợi ý.
4. Chọn Date = ngày mai, Time = 09:00.
5. Nhập Notes, nhấp [Save].</t>
  </si>
  <si>
    <t xml:space="preserve">1. Hiển thị "Successfully Saved"
2. Status chuyển "Interview Scheduled"
3. Hiển thị nút [Mark Interview Passed], [Mark Interview Failed].</t>
  </si>
  <si>
    <t xml:space="preserve">T-F12-008</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</si>
  <si>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[Schedule Interview].
2. Nhập Interview Title, Interviewer, Date hợp lệ.
3. Nhấp [Save].</t>
  </si>
  <si>
    <t xml:space="preserve">Lưu thành công, Status = "Interview Scheduled"</t>
  </si>
  <si>
    <t xml:space="preserve">T-F12-009</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</si>
  <si>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Với ứng viên Interview Scheduled, nhấp [Mark Interview Passed].
2. Nhấp [Save].</t>
  </si>
  <si>
    <t xml:space="preserve">1. Status chuyển "Interview Passed"
2. Hiển thị nút [Offer Job].</t>
  </si>
  <si>
    <t xml:space="preserve">T-F12-010</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</si>
  <si>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Với ứng viên Interview Scheduled, nhấp [Mark Interview Failed].
2. Nhấp [Save].</t>
  </si>
  <si>
    <t xml:space="preserve">Status chuyển "Interview Failed"</t>
  </si>
  <si>
    <t xml:space="preserve">T-F12-011</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</si>
  <si>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[Offer Job].
2. Nhập Notes, nhấp [Save].</t>
  </si>
  <si>
    <t xml:space="preserve">1. Status chuyển "Job Offered"
2. Hiển thị nút [Hire] và [Decline Offer].</t>
  </si>
  <si>
    <t xml:space="preserve">T-F12-012</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</si>
  <si>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Với ứng viên Job Offered, nhấp [Decline Offer].
2. Nhấp [Save].</t>
  </si>
  <si>
    <t xml:space="preserve">Status chuyển "Offer Declined"</t>
  </si>
  <si>
    <t xml:space="preserve">T-F12-013</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</si>
  <si>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Với ứng viên Job Offered, nhấp [Hire].
2. Nhấp [Save].</t>
  </si>
  <si>
    <t xml:space="preserve">Status chuyển "Hired"</t>
  </si>
  <si>
    <t xml:space="preserve">T-F12-014</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</si>
  <si>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Tạo ứng viên mới.
2. Lần lượt thực hiện: Shortlist → Schedule Interview → Mark Interview Passed → Offer Job → Hire.</t>
  </si>
  <si>
    <t xml:space="preserve">1. Mỗi bước hiển thị "Successfully Saved" và Status đổi đúng thứ tự.
2. Kết thúc ở trạng thái "Hired"</t>
  </si>
  <si>
    <t xml:space="preserve">T-F12-015</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</si>
  <si>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[Schedule Interview].
2. Để trống Interview Title, nhập các trường khác hợp lệ.
3. Nhấp [Save].</t>
  </si>
  <si>
    <t xml:space="preserve">1. Hiển thị lỗi "Required" dưới Interview Title.
2. Status không đổi.</t>
  </si>
  <si>
    <t xml:space="preserve">T-F12-016</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</si>
  <si>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[Schedule Interview].
2. Nhập Interview Title, Date hợp lệ, để trống Interviewer.
3. Nhấp [Save].</t>
  </si>
  <si>
    <t xml:space="preserve">1. Hiển thị lỗi "Required" dưới Interviewer.
2. Status không đổi.</t>
  </si>
  <si>
    <t xml:space="preserve">T-F12-017</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</si>
  <si>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[Schedule Interview].
2. Nhập Interview Title, Interviewer hợp lệ, để trống Date.
3. Nhấp [Save].</t>
  </si>
  <si>
    <t xml:space="preserve">1. Hiển thị lỗi "Required" dưới Date.
2. Status không đổi.</t>
  </si>
  <si>
    <t xml:space="preserve">T-F12-018</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</si>
  <si>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[Schedule Interview].
2. Nhập Interviewer = "zzzzqqq" (không chọn gợi ý)
3. Nhấp [Save].</t>
  </si>
  <si>
    <t xml:space="preserve">1. Hiển thị lỗi "Invalid" tại Interviewer.
2. Status không đổi.</t>
  </si>
  <si>
    <t xml:space="preserve">Negative
Defect phát hiện: Hệ thống không hiển thị lỗi "Invalid" khi người dùng nhập tên Interviewer không tồn tại.</t>
  </si>
  <si>
    <t xml:space="preserve">T-F12-019</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</si>
  <si>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[Schedule Interview].
2. Nhập Date = "abc"
3. Nhấp [Save].</t>
  </si>
  <si>
    <t xml:space="preserve">1. Hiển thị lỗi định dạng ngày hợp lệ.
2. Status không đổi.</t>
  </si>
  <si>
    <t xml:space="preserve">Negative
Defect phát hiện: Hệ thống không hiển thị lỗi định dạng ngày hợp lệ khi nhập chuỗi "abc" vào trường Date phỏng vấn.</t>
  </si>
  <si>
    <t xml:space="preserve">T-F12-020</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</si>
  <si>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[Shortlist].
2. Nhập Notes gồm 251 ký tự.
3. Nhấp [Save].</t>
  </si>
  <si>
    <t xml:space="preserve">1. Hiển thị lỗi "Should not exceed 250 characters"
2. Status không đổi.</t>
  </si>
  <si>
    <t xml:space="preserve">Boundary; giới hạn 250 ký tự
Defect phát hiện: Hệ thống không hiển thị thông báo lỗi "Should not exceed 250 characters" khi Notes vượt quá 250 ký tự.</t>
  </si>
  <si>
    <t xml:space="preserve">T-F12-021</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</si>
  <si>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[Shortlist], nhập Notes.
2. Nhấp [Cancel].</t>
  </si>
  <si>
    <t xml:space="preserve">Quay về màn hình Application Stage, Status giữ nguyên "Application Initiated"</t>
  </si>
  <si>
    <t xml:space="preserve">T-F12-022</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</si>
  <si>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Mở ứng viên có Status = "Hired"</t>
  </si>
  <si>
    <t xml:space="preserve">1. Không hiển thị các nút [Shortlist], [Reject], [Schedule Interview].
2. Status giữ nguyên "Hired"</t>
  </si>
  <si>
    <t xml:space="preserve">Negative; Workflow
Defect quy trình (Workflow): Ứng viên ở trạng thái "Hired" vẫn còn hiển thị nút chuyển trạng thái không hợp lệ.</t>
  </si>
  <si>
    <t xml:space="preserve">T-F12-023</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</si>
  <si>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Mở ứng viên ở trạng thái Application Initiated.
2. Quan sát các nút thao tác.</t>
  </si>
  <si>
    <t xml:space="preserve">Chỉ có [Reject], [Shortlist]; không có [Hire], [Offer Job], [Mark Interview Passed].</t>
  </si>
  <si>
    <t xml:space="preserve">T-F12-024</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</si>
  <si>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Nhấp [Shortlist].
2. Nhấp nhanh [Save] 3 lần liên tiếp.</t>
  </si>
  <si>
    <t xml:space="preserve">1. Chỉ chuyển trạng thái 1 lần.
2. Lịch sử chỉ có 1 bản ghi cho thao tác Shortlist.</t>
  </si>
  <si>
    <t xml:space="preserve">T-F12-025</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</si>
  <si>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Shortlist ứng viên.
2. Nhấn F5.</t>
  </si>
  <si>
    <t xml:space="preserve">Trang tải lại thành công, Status vẫn là "Shortlisted"</t>
  </si>
  <si>
    <t xml:space="preserve">T-F12-026</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</si>
  <si>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Cập nhật trạng thái một ứng viên thành "Shortlisted"
2. Quay lại tab [Candidates].</t>
  </si>
  <si>
    <t xml:space="preserve">Cột Status của ứng viên hiển thị "Shortlisted"</t>
  </si>
  <si>
    <t xml:space="preserve">T-F12-027</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</si>
  <si>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Tại tab [Candidates], chọn Status = "Shortlisted"
2. Nhấp [Search].</t>
  </si>
  <si>
    <t xml:space="preserve">Ứng viên vừa cập nhật có trong kết quả, mọi dòng đều có Status = Shortlisted.</t>
  </si>
  <si>
    <t xml:space="preserve">T-F12-028</t>
  </si>
  <si>
    <t xml:space="preserve">Tiền điều kiện: Truy cập https://opensource-demo.orangehrmlive.com/web/index.php/auth/login, đăng nhập Admin / admin123; đã có ứng viên mới tạo (theo T-F11-005, mỗi test dùng 1 ứng viên riêng) ở đúng trạng thái đầu vào của test, đang ở trang chi tiết ứng viên.
1. Mở ứng viên đã đổi trạng thái nhiều lần.
2. Quan sát phần History/Application Stage.</t>
  </si>
  <si>
    <t xml:space="preserve">Hiển thị đủ các thay đổi theo thứ tự thời gian (trạng thái, người thực hiện, ngày, ghi chú)</t>
  </si>
  <si>
    <t xml:space="preserve">Defect phát hiện: Lịch sử thay đổi trạng thái (Application Stage History) không hiển thị đầy đủ chi tiết người thực hiện và ghi chú.</t>
  </si>
  <si>
    <t xml:space="preserve">TEST REPORT</t>
  </si>
  <si>
    <t xml:space="preserve">Notes</t>
  </si>
  <si>
    <t xml:space="preserve">Release 1 gồm các module: OHRM_REC_Vacancy (F10), OHRM_REC_Candidate (F11), OHRM_REC_Status (F12) - OrangeHRM Recruitment</t>
  </si>
  <si>
    <t xml:space="preserve">Module code</t>
  </si>
  <si>
    <t xml:space="preserve">Number of  test cases</t>
  </si>
  <si>
    <t xml:space="preserve">Sub total</t>
  </si>
  <si>
    <t xml:space="preserve">Test coverage</t>
  </si>
  <si>
    <t xml:space="preserve">%</t>
  </si>
  <si>
    <t xml:space="preserve">Test successful coverage</t>
  </si>
</sst>
</file>

<file path=xl/styles.xml><?xml version="1.0" encoding="utf-8"?>
<styleSheet xmlns="http://schemas.openxmlformats.org/spreadsheetml/2006/main">
  <numFmts count="11">
    <numFmt numFmtId="164" formatCode="General"/>
    <numFmt numFmtId="165" formatCode="[$-409]dd\-mmm\-yy"/>
    <numFmt numFmtId="166" formatCode="d\-mmm\-yy"/>
    <numFmt numFmtId="167" formatCode="@"/>
    <numFmt numFmtId="168" formatCode="0"/>
    <numFmt numFmtId="169" formatCode="m/d/yyyy"/>
    <numFmt numFmtId="170" formatCode="General"/>
    <numFmt numFmtId="171" formatCode="d/m/yyyy"/>
    <numFmt numFmtId="172" formatCode="0.00%"/>
    <numFmt numFmtId="173" formatCode="0%"/>
    <numFmt numFmtId="174" formatCode="0.00"/>
  </numFmts>
  <fonts count="28">
    <font>
      <sz val="10"/>
      <color rgb="FF000000"/>
      <name val="Arial"/>
      <family val="0"/>
      <charset val="1"/>
    </font>
    <font>
      <sz val="10"/>
      <name val="Arial"/>
      <family val="0"/>
    </font>
    <font>
      <sz val="10"/>
      <name val="Arial"/>
      <family val="0"/>
    </font>
    <font>
      <sz val="10"/>
      <name val="Arial"/>
      <family val="0"/>
    </font>
    <font>
      <sz val="10"/>
      <color theme="1"/>
      <name val="Tahoma"/>
      <family val="0"/>
      <charset val="1"/>
    </font>
    <font>
      <sz val="10"/>
      <color theme="1"/>
      <name val="Arial"/>
      <family val="0"/>
      <charset val="1"/>
    </font>
    <font>
      <b val="true"/>
      <sz val="22"/>
      <color rgb="FFFF0000"/>
      <name val="Tahoma"/>
      <family val="0"/>
      <charset val="1"/>
    </font>
    <font>
      <b val="true"/>
      <sz val="20"/>
      <color rgb="FF000000"/>
      <name val="Arial"/>
      <family val="0"/>
      <charset val="1"/>
    </font>
    <font>
      <b val="true"/>
      <sz val="10"/>
      <color rgb="FF993300"/>
      <name val="Arial"/>
      <family val="0"/>
      <charset val="1"/>
    </font>
    <font>
      <i val="true"/>
      <sz val="10"/>
      <color rgb="FF008000"/>
      <name val="Arial"/>
      <family val="0"/>
      <charset val="1"/>
    </font>
    <font>
      <b val="true"/>
      <sz val="10"/>
      <color rgb="FFFFFFFF"/>
      <name val="Arial"/>
      <family val="0"/>
      <charset val="1"/>
    </font>
    <font>
      <b val="true"/>
      <sz val="10"/>
      <color rgb="FF000000"/>
      <name val="Arial"/>
      <family val="0"/>
      <charset val="1"/>
    </font>
    <font>
      <b val="true"/>
      <sz val="10"/>
      <color rgb="FFFF0000"/>
      <name val="Arial"/>
      <family val="0"/>
      <charset val="1"/>
    </font>
    <font>
      <b val="true"/>
      <sz val="10"/>
      <color theme="1"/>
      <name val="Tahoma"/>
      <family val="0"/>
      <charset val="1"/>
    </font>
    <font>
      <u val="single"/>
      <sz val="11"/>
      <color rgb="FF0000FF"/>
      <name val="Arial"/>
      <family val="0"/>
      <charset val="1"/>
    </font>
    <font>
      <u val="single"/>
      <sz val="10"/>
      <color rgb="FF0000FF"/>
      <name val="Arial"/>
      <family val="0"/>
      <charset val="1"/>
    </font>
    <font>
      <u val="single"/>
      <sz val="10"/>
      <color rgb="FF0000FF"/>
      <name val="Tahoma"/>
      <family val="0"/>
      <charset val="1"/>
    </font>
    <font>
      <b val="true"/>
      <sz val="11"/>
      <color rgb="FFFFFFFF"/>
      <name val="Arial"/>
      <family val="0"/>
      <charset val="1"/>
    </font>
    <font>
      <b val="true"/>
      <sz val="11"/>
      <color rgb="FF000000"/>
      <name val="Arial"/>
      <family val="0"/>
      <charset val="1"/>
    </font>
    <font>
      <sz val="11"/>
      <color rgb="FF000000"/>
      <name val="Arial"/>
      <family val="0"/>
      <charset val="1"/>
    </font>
    <font>
      <sz val="11"/>
      <color theme="1"/>
      <name val="Arial"/>
      <family val="0"/>
      <charset val="1"/>
    </font>
    <font>
      <b val="true"/>
      <sz val="11"/>
      <color theme="1"/>
      <name val="Arial"/>
      <family val="0"/>
      <charset val="1"/>
    </font>
    <font>
      <sz val="11"/>
      <color theme="1"/>
      <name val="Calibri"/>
      <family val="0"/>
      <charset val="1"/>
    </font>
    <font>
      <sz val="11"/>
      <color rgb="FF000000"/>
      <name val="Calibri"/>
      <family val="0"/>
      <charset val="1"/>
    </font>
    <font>
      <b val="true"/>
      <sz val="12"/>
      <color rgb="FF434343"/>
      <name val="Arial"/>
      <family val="0"/>
      <charset val="1"/>
    </font>
    <font>
      <b val="true"/>
      <sz val="10"/>
      <color theme="1"/>
      <name val="Arial"/>
      <family val="0"/>
      <charset val="1"/>
    </font>
    <font>
      <sz val="10"/>
      <color rgb="FFFFFFFF"/>
      <name val="Arial"/>
      <family val="0"/>
      <charset val="1"/>
    </font>
    <font>
      <b val="true"/>
      <sz val="10"/>
      <color rgb="FF0000FF"/>
      <name val="Arial"/>
      <family val="0"/>
      <charset val="1"/>
    </font>
  </fonts>
  <fills count="11">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434343"/>
      </patternFill>
    </fill>
    <fill>
      <patternFill patternType="solid">
        <fgColor rgb="FFD9E2F3"/>
        <bgColor rgb="FFD8D8D8"/>
      </patternFill>
    </fill>
    <fill>
      <patternFill patternType="solid">
        <fgColor rgb="FF8EAADB"/>
        <bgColor rgb="FF969696"/>
      </patternFill>
    </fill>
    <fill>
      <patternFill patternType="solid">
        <fgColor rgb="FFBDD6EE"/>
        <bgColor rgb="FFD8D8D8"/>
      </patternFill>
    </fill>
    <fill>
      <patternFill patternType="solid">
        <fgColor rgb="FFD8D8D8"/>
        <bgColor rgb="FFD9E2F3"/>
      </patternFill>
    </fill>
    <fill>
      <patternFill patternType="solid">
        <fgColor rgb="FFE2EFD9"/>
        <bgColor rgb="FFD9E2F3"/>
      </patternFill>
    </fill>
    <fill>
      <patternFill patternType="solid">
        <fgColor rgb="FFFFD965"/>
        <bgColor rgb="FFFFFF99"/>
      </patternFill>
    </fill>
  </fills>
  <borders count="2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top style="thin"/>
      <bottom style="thin"/>
      <diagonal/>
    </border>
    <border diagonalUp="false" diagonalDown="false">
      <left style="hair"/>
      <right/>
      <top style="thin"/>
      <bottom style="hair"/>
      <diagonal/>
    </border>
    <border diagonalUp="false" diagonalDown="false">
      <left style="hair"/>
      <right style="hair"/>
      <top style="hair"/>
      <bottom/>
      <diagonal/>
    </border>
    <border diagonalUp="false" diagonalDown="false">
      <left style="medium"/>
      <right style="medium"/>
      <top style="medium"/>
      <bottom style="medium"/>
      <diagonal/>
    </border>
    <border diagonalUp="false" diagonalDown="false">
      <left style="hair"/>
      <right style="hair"/>
      <top/>
      <bottom style="hair"/>
      <diagonal/>
    </border>
    <border diagonalUp="false" diagonalDown="false">
      <left style="hair"/>
      <right/>
      <top style="hair"/>
      <bottom style="hair"/>
      <diagonal/>
    </border>
    <border diagonalUp="false" diagonalDown="false">
      <left/>
      <right style="hair"/>
      <top style="hair"/>
      <bottom style="hair"/>
      <diagonal/>
    </border>
    <border diagonalUp="false" diagonalDown="false">
      <left/>
      <right style="medium"/>
      <top/>
      <bottom/>
      <diagonal/>
    </border>
    <border diagonalUp="false" diagonalDown="false">
      <left/>
      <right style="hair"/>
      <top style="thin"/>
      <bottom style="hair"/>
      <diagonal/>
    </border>
    <border diagonalUp="false" diagonalDown="false">
      <left style="hair"/>
      <right style="medium"/>
      <top style="thin"/>
      <bottom style="hair"/>
      <diagonal/>
    </border>
    <border diagonalUp="false" diagonalDown="false">
      <left style="hair"/>
      <right style="medium"/>
      <top style="hair"/>
      <bottom style="hair"/>
      <diagonal/>
    </border>
    <border diagonalUp="false" diagonalDown="false">
      <left/>
      <right style="hair"/>
      <top style="hair"/>
      <bottom style="thin"/>
      <diagonal/>
    </border>
    <border diagonalUp="false" diagonalDown="false">
      <left style="hair"/>
      <right style="medium"/>
      <top style="hair"/>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left" vertical="bottom" textRotation="0" wrapText="true" indent="0" shrinkToFit="false"/>
      <protection locked="true" hidden="false"/>
    </xf>
    <xf numFmtId="164" fontId="9" fillId="0" borderId="2" xfId="0" applyFont="true" applyBorder="true" applyAlignment="true" applyProtection="false">
      <alignment horizontal="left" vertical="bottom"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10" fillId="3" borderId="3" xfId="0" applyFont="true" applyBorder="true" applyAlignment="true" applyProtection="false">
      <alignment horizontal="center" vertical="center" textRotation="0" wrapText="true" indent="0" shrinkToFit="false"/>
      <protection locked="true" hidden="false"/>
    </xf>
    <xf numFmtId="164" fontId="10" fillId="3" borderId="4" xfId="0" applyFont="true" applyBorder="true" applyAlignment="true" applyProtection="false">
      <alignment horizontal="center" vertical="center" textRotation="0" wrapText="true" indent="0" shrinkToFit="false"/>
      <protection locked="true" hidden="false"/>
    </xf>
    <xf numFmtId="164" fontId="10" fillId="3" borderId="5"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5" fontId="9" fillId="0" borderId="6" xfId="0" applyFont="true" applyBorder="true" applyAlignment="true" applyProtection="false">
      <alignment horizontal="general" vertical="top" textRotation="0" wrapText="true" indent="0" shrinkToFit="false"/>
      <protection locked="true" hidden="false"/>
    </xf>
    <xf numFmtId="167" fontId="5" fillId="0" borderId="7"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7" xfId="0" applyFont="true" applyBorder="true" applyAlignment="true" applyProtection="false">
      <alignment horizontal="general" vertical="top" textRotation="0" wrapText="true" indent="0" shrinkToFit="false"/>
      <protection locked="true" hidden="false"/>
    </xf>
    <xf numFmtId="164" fontId="9" fillId="0" borderId="8" xfId="0" applyFont="true" applyBorder="true" applyAlignment="true" applyProtection="false">
      <alignment horizontal="general" vertical="top" textRotation="0" wrapText="true" indent="0" shrinkToFit="false"/>
      <protection locked="true" hidden="false"/>
    </xf>
    <xf numFmtId="164" fontId="9" fillId="0" borderId="6" xfId="0" applyFont="true" applyBorder="true" applyAlignment="true" applyProtection="false">
      <alignment horizontal="general" vertical="top" textRotation="0" wrapText="true" indent="0" shrinkToFit="false"/>
      <protection locked="true" hidden="false"/>
    </xf>
    <xf numFmtId="166" fontId="4" fillId="0" borderId="6" xfId="0" applyFont="true" applyBorder="true" applyAlignment="true" applyProtection="false">
      <alignment horizontal="general" vertical="top" textRotation="0" wrapText="false" indent="0" shrinkToFit="false"/>
      <protection locked="true" hidden="false"/>
    </xf>
    <xf numFmtId="167" fontId="4" fillId="0" borderId="7" xfId="0" applyFont="true" applyBorder="true" applyAlignment="true" applyProtection="false">
      <alignment horizontal="general" vertical="top" textRotation="0" wrapText="false" indent="0" shrinkToFit="false"/>
      <protection locked="true" hidden="false"/>
    </xf>
    <xf numFmtId="164" fontId="4" fillId="0" borderId="7" xfId="0" applyFont="true" applyBorder="true" applyAlignment="true" applyProtection="false">
      <alignment horizontal="general" vertical="top" textRotation="0" wrapText="false" indent="0" shrinkToFit="false"/>
      <protection locked="true" hidden="false"/>
    </xf>
    <xf numFmtId="164" fontId="4" fillId="0" borderId="8" xfId="0" applyFont="true" applyBorder="true" applyAlignment="true" applyProtection="false">
      <alignment horizontal="general" vertical="top" textRotation="0" wrapText="false" indent="0" shrinkToFit="false"/>
      <protection locked="true" hidden="false"/>
    </xf>
    <xf numFmtId="166" fontId="4" fillId="0" borderId="9" xfId="0" applyFont="true" applyBorder="true" applyAlignment="true" applyProtection="false">
      <alignment horizontal="general" vertical="top" textRotation="0" wrapText="false" indent="0" shrinkToFit="false"/>
      <protection locked="true" hidden="false"/>
    </xf>
    <xf numFmtId="167" fontId="4" fillId="0" borderId="10" xfId="0" applyFont="true" applyBorder="true" applyAlignment="true" applyProtection="false">
      <alignment horizontal="general" vertical="top" textRotation="0" wrapText="false" indent="0" shrinkToFit="false"/>
      <protection locked="true" hidden="false"/>
    </xf>
    <xf numFmtId="164" fontId="4" fillId="0" borderId="10" xfId="0" applyFont="true" applyBorder="true" applyAlignment="true" applyProtection="false">
      <alignment horizontal="general" vertical="top" textRotation="0" wrapText="false" indent="0" shrinkToFit="false"/>
      <protection locked="true" hidden="false"/>
    </xf>
    <xf numFmtId="164" fontId="4" fillId="0" borderId="1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8" fontId="5"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4" fontId="11" fillId="2" borderId="0" xfId="0" applyFont="true" applyBorder="false" applyAlignment="true" applyProtection="false">
      <alignment horizontal="left" vertical="bottom" textRotation="0" wrapText="fals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8" fontId="8" fillId="2" borderId="12"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left"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8" fontId="8" fillId="2"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8"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center" vertical="bottom" textRotation="0" wrapText="false" indent="0" shrinkToFit="false"/>
      <protection locked="true" hidden="false"/>
    </xf>
    <xf numFmtId="168" fontId="10" fillId="4" borderId="3" xfId="0" applyFont="true" applyBorder="true" applyAlignment="true" applyProtection="false">
      <alignment horizontal="center" vertical="center" textRotation="0" wrapText="true" indent="0" shrinkToFit="false"/>
      <protection locked="true" hidden="false"/>
    </xf>
    <xf numFmtId="164" fontId="10" fillId="4" borderId="4" xfId="0" applyFont="true" applyBorder="true" applyAlignment="true" applyProtection="false">
      <alignment horizontal="center" vertical="center" textRotation="0" wrapText="true" indent="0" shrinkToFit="false"/>
      <protection locked="true" hidden="false"/>
    </xf>
    <xf numFmtId="164" fontId="10" fillId="4" borderId="13" xfId="0" applyFont="true" applyBorder="true" applyAlignment="true" applyProtection="false">
      <alignment horizontal="center" vertical="center" textRotation="0" wrapText="true" indent="0" shrinkToFit="false"/>
      <protection locked="true" hidden="false"/>
    </xf>
    <xf numFmtId="164" fontId="10" fillId="4" borderId="5" xfId="0" applyFont="true" applyBorder="true" applyAlignment="true" applyProtection="false">
      <alignment horizontal="center" vertical="center" textRotation="0" wrapText="true" indent="0" shrinkToFit="false"/>
      <protection locked="true" hidden="false"/>
    </xf>
    <xf numFmtId="168" fontId="5" fillId="2" borderId="6" xfId="0" applyFont="true" applyBorder="true" applyAlignment="true" applyProtection="false">
      <alignment horizontal="center" vertical="top" textRotation="0" wrapText="false" indent="0" shrinkToFit="false"/>
      <protection locked="true" hidden="false"/>
    </xf>
    <xf numFmtId="167" fontId="5" fillId="2" borderId="7" xfId="0" applyFont="true" applyBorder="true" applyAlignment="true" applyProtection="false">
      <alignment horizontal="left" vertical="top" textRotation="0" wrapText="true" indent="0" shrinkToFit="false"/>
      <protection locked="true" hidden="false"/>
    </xf>
    <xf numFmtId="164" fontId="14" fillId="2" borderId="7" xfId="0" applyFont="true" applyBorder="true" applyAlignment="true" applyProtection="false">
      <alignment horizontal="left" vertical="top" textRotation="0" wrapText="true" indent="0" shrinkToFit="false"/>
      <protection locked="true" hidden="false"/>
    </xf>
    <xf numFmtId="164" fontId="5" fillId="2" borderId="7" xfId="0" applyFont="true" applyBorder="true" applyAlignment="true" applyProtection="false">
      <alignment horizontal="left" vertical="top" textRotation="0" wrapText="true" indent="0" shrinkToFit="false"/>
      <protection locked="true" hidden="false"/>
    </xf>
    <xf numFmtId="164" fontId="5" fillId="2" borderId="8" xfId="0" applyFont="true" applyBorder="true" applyAlignment="true" applyProtection="false">
      <alignment horizontal="left" vertical="top" textRotation="0" wrapText="true" indent="0" shrinkToFit="false"/>
      <protection locked="true" hidden="false"/>
    </xf>
    <xf numFmtId="168" fontId="5" fillId="2" borderId="6" xfId="0" applyFont="true" applyBorder="true" applyAlignment="true" applyProtection="false">
      <alignment horizontal="general" vertical="center" textRotation="0" wrapText="true" indent="0" shrinkToFit="false"/>
      <protection locked="true" hidden="false"/>
    </xf>
    <xf numFmtId="164" fontId="14" fillId="2" borderId="7" xfId="0" applyFont="true" applyBorder="true" applyAlignment="true" applyProtection="false">
      <alignment horizontal="left" vertical="center" textRotation="0" wrapText="true" indent="0" shrinkToFit="false"/>
      <protection locked="true" hidden="false"/>
    </xf>
    <xf numFmtId="164" fontId="15" fillId="2" borderId="7" xfId="0" applyFont="true" applyBorder="true" applyAlignment="true" applyProtection="false">
      <alignment horizontal="left" vertical="top" textRotation="0" wrapText="true" indent="0" shrinkToFit="false"/>
      <protection locked="true" hidden="false"/>
    </xf>
    <xf numFmtId="168" fontId="4" fillId="2" borderId="6" xfId="0" applyFont="true" applyBorder="true" applyAlignment="true" applyProtection="false">
      <alignment horizontal="general" vertical="center" textRotation="0" wrapText="false" indent="0" shrinkToFit="false"/>
      <protection locked="true" hidden="false"/>
    </xf>
    <xf numFmtId="167" fontId="4" fillId="2" borderId="7" xfId="0" applyFont="true" applyBorder="true" applyAlignment="true" applyProtection="false">
      <alignment horizontal="left" vertical="center" textRotation="0" wrapText="false" indent="0" shrinkToFit="false"/>
      <protection locked="true" hidden="false"/>
    </xf>
    <xf numFmtId="164" fontId="16" fillId="2" borderId="7" xfId="0" applyFont="true" applyBorder="true" applyAlignment="true" applyProtection="false">
      <alignment horizontal="left" vertical="center" textRotation="0" wrapText="false" indent="0" shrinkToFit="false"/>
      <protection locked="true" hidden="false"/>
    </xf>
    <xf numFmtId="164" fontId="4" fillId="2" borderId="8" xfId="0" applyFont="true" applyBorder="true" applyAlignment="true" applyProtection="false">
      <alignment horizontal="left" vertical="center" textRotation="0" wrapText="false" indent="0" shrinkToFit="false"/>
      <protection locked="true" hidden="false"/>
    </xf>
    <xf numFmtId="164" fontId="4" fillId="2" borderId="7" xfId="0" applyFont="true" applyBorder="true" applyAlignment="true" applyProtection="false">
      <alignment horizontal="left" vertical="center" textRotation="0" wrapText="false" indent="0" shrinkToFit="false"/>
      <protection locked="true" hidden="false"/>
    </xf>
    <xf numFmtId="168" fontId="4" fillId="2" borderId="9" xfId="0" applyFont="true" applyBorder="true" applyAlignment="true" applyProtection="false">
      <alignment horizontal="general" vertical="center" textRotation="0" wrapText="false" indent="0" shrinkToFit="false"/>
      <protection locked="true" hidden="false"/>
    </xf>
    <xf numFmtId="167" fontId="4" fillId="2" borderId="10" xfId="0" applyFont="true" applyBorder="true" applyAlignment="true" applyProtection="false">
      <alignment horizontal="left" vertical="center" textRotation="0" wrapText="false" indent="0" shrinkToFit="false"/>
      <protection locked="true" hidden="false"/>
    </xf>
    <xf numFmtId="164" fontId="4" fillId="2" borderId="10" xfId="0" applyFont="true" applyBorder="true" applyAlignment="true" applyProtection="false">
      <alignment horizontal="left" vertical="center" textRotation="0" wrapText="false" indent="0" shrinkToFit="false"/>
      <protection locked="true" hidden="false"/>
    </xf>
    <xf numFmtId="164" fontId="4" fillId="2" borderId="11" xfId="0" applyFont="true" applyBorder="true" applyAlignment="true" applyProtection="false">
      <alignment horizontal="left" vertical="center" textRotation="0" wrapText="false" indent="0" shrinkToFit="false"/>
      <protection locked="true" hidden="false"/>
    </xf>
    <xf numFmtId="168" fontId="4"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true" indent="0" shrinkToFit="false"/>
      <protection locked="true" hidden="false"/>
    </xf>
    <xf numFmtId="164" fontId="18" fillId="5" borderId="7" xfId="0" applyFont="true" applyBorder="true" applyAlignment="true" applyProtection="false">
      <alignment horizontal="general" vertical="top" textRotation="0" wrapText="true" indent="0" shrinkToFit="false"/>
      <protection locked="true" hidden="false"/>
    </xf>
    <xf numFmtId="164" fontId="18" fillId="6" borderId="7" xfId="0" applyFont="true" applyBorder="true" applyAlignment="true" applyProtection="false">
      <alignment horizontal="general" vertical="top" textRotation="0" wrapText="true" indent="0" shrinkToFit="false"/>
      <protection locked="true" hidden="false"/>
    </xf>
    <xf numFmtId="164" fontId="19" fillId="7" borderId="7" xfId="0" applyFont="true" applyBorder="true" applyAlignment="true" applyProtection="false">
      <alignment horizontal="general" vertical="top" textRotation="0" wrapText="true" indent="0" shrinkToFit="false"/>
      <protection locked="true" hidden="false"/>
    </xf>
    <xf numFmtId="164" fontId="19" fillId="0" borderId="7" xfId="0" applyFont="true" applyBorder="true" applyAlignment="true" applyProtection="false">
      <alignment horizontal="general" vertical="top" textRotation="0" wrapText="true" indent="0" shrinkToFit="false"/>
      <protection locked="true" hidden="false"/>
    </xf>
    <xf numFmtId="164" fontId="19" fillId="0" borderId="7" xfId="0" applyFont="true" applyBorder="true" applyAlignment="true" applyProtection="false">
      <alignment horizontal="center" vertical="top" textRotation="0" wrapText="true" indent="0" shrinkToFit="false"/>
      <protection locked="true" hidden="false"/>
    </xf>
    <xf numFmtId="164" fontId="20" fillId="0" borderId="14" xfId="0" applyFont="true" applyBorder="true" applyAlignment="true" applyProtection="false">
      <alignment horizontal="general" vertical="bottom" textRotation="0" wrapText="true" indent="0" shrinkToFit="false"/>
      <protection locked="true" hidden="false"/>
    </xf>
    <xf numFmtId="164" fontId="20" fillId="2" borderId="14"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9" fontId="20" fillId="2" borderId="0" xfId="0" applyFont="true" applyBorder="false" applyAlignment="true" applyProtection="false">
      <alignment horizontal="general" vertical="bottom" textRotation="0" wrapText="false" indent="0" shrinkToFit="false"/>
      <protection locked="true" hidden="false"/>
    </xf>
    <xf numFmtId="164" fontId="21" fillId="0" borderId="15" xfId="0" applyFont="true" applyBorder="true" applyAlignment="true" applyProtection="false">
      <alignment horizontal="general" vertical="bottom" textRotation="0" wrapText="true" indent="0" shrinkToFit="false"/>
      <protection locked="true" hidden="false"/>
    </xf>
    <xf numFmtId="164" fontId="20" fillId="2" borderId="15" xfId="0" applyFont="true" applyBorder="true" applyAlignment="true" applyProtection="false">
      <alignment horizontal="general" vertical="bottom" textRotation="0" wrapText="true" indent="0" shrinkToFit="false"/>
      <protection locked="true" hidden="false"/>
    </xf>
    <xf numFmtId="169" fontId="20" fillId="0" borderId="0" xfId="0" applyFont="true" applyBorder="false" applyAlignment="true" applyProtection="false">
      <alignment horizontal="general" vertical="bottom" textRotation="0" wrapText="false" indent="0" shrinkToFit="false"/>
      <protection locked="true" hidden="false"/>
    </xf>
    <xf numFmtId="169" fontId="20" fillId="2" borderId="1" xfId="0" applyFont="true" applyBorder="true" applyAlignment="true" applyProtection="false">
      <alignment horizontal="general" vertical="bottom" textRotation="0" wrapText="true" indent="0" shrinkToFit="false"/>
      <protection locked="true" hidden="false"/>
    </xf>
    <xf numFmtId="164" fontId="20" fillId="2" borderId="1" xfId="0" applyFont="true" applyBorder="true" applyAlignment="true" applyProtection="false">
      <alignment horizontal="general" vertical="bottom" textRotation="0" wrapText="false" indent="0" shrinkToFit="false"/>
      <protection locked="true" hidden="false"/>
    </xf>
    <xf numFmtId="164" fontId="22" fillId="2" borderId="15" xfId="0" applyFont="true" applyBorder="true" applyAlignment="true" applyProtection="false">
      <alignment horizontal="general" vertical="bottom" textRotation="0" wrapText="false" indent="0" shrinkToFit="false"/>
      <protection locked="true" hidden="false"/>
    </xf>
    <xf numFmtId="164" fontId="21" fillId="8" borderId="15" xfId="0" applyFont="true" applyBorder="true" applyAlignment="true" applyProtection="false">
      <alignment horizontal="center" vertical="bottom" textRotation="0" wrapText="true" indent="0" shrinkToFit="false"/>
      <protection locked="true" hidden="false"/>
    </xf>
    <xf numFmtId="164" fontId="20" fillId="2" borderId="15" xfId="0" applyFont="true" applyBorder="true" applyAlignment="true" applyProtection="false">
      <alignment horizontal="general" vertical="bottom" textRotation="0" wrapText="false" indent="0" shrinkToFit="false"/>
      <protection locked="true" hidden="false"/>
    </xf>
    <xf numFmtId="170" fontId="20" fillId="2" borderId="15" xfId="0" applyFont="true" applyBorder="true" applyAlignment="true" applyProtection="false">
      <alignment horizontal="center" vertical="bottom" textRotation="0" wrapText="false" indent="0" shrinkToFit="false"/>
      <protection locked="true" hidden="false"/>
    </xf>
    <xf numFmtId="164" fontId="22" fillId="2" borderId="16" xfId="0" applyFont="true" applyBorder="true" applyAlignment="true" applyProtection="false">
      <alignment horizontal="general" vertical="bottom" textRotation="0" wrapText="false" indent="0" shrinkToFit="false"/>
      <protection locked="true" hidden="false"/>
    </xf>
    <xf numFmtId="164" fontId="22" fillId="2" borderId="0" xfId="0" applyFont="true" applyBorder="false" applyAlignment="true" applyProtection="false">
      <alignment horizontal="general" vertical="bottom" textRotation="0" wrapText="false" indent="0" shrinkToFit="false"/>
      <protection locked="true" hidden="false"/>
    </xf>
    <xf numFmtId="169" fontId="22" fillId="2" borderId="0" xfId="0" applyFont="true" applyBorder="false" applyAlignment="true" applyProtection="false">
      <alignment horizontal="general" vertical="bottom" textRotation="0" wrapText="false" indent="0" shrinkToFit="false"/>
      <protection locked="true" hidden="false"/>
    </xf>
    <xf numFmtId="164" fontId="22" fillId="2" borderId="0" xfId="0" applyFont="true" applyBorder="false" applyAlignment="true" applyProtection="false">
      <alignment horizontal="center" vertical="bottom" textRotation="0" wrapText="false" indent="0" shrinkToFit="false"/>
      <protection locked="true" hidden="false"/>
    </xf>
    <xf numFmtId="164" fontId="17" fillId="3" borderId="7" xfId="0" applyFont="true" applyBorder="true" applyAlignment="true" applyProtection="false">
      <alignment horizontal="center" vertical="bottom" textRotation="0" wrapText="true" indent="0" shrinkToFit="false"/>
      <protection locked="true" hidden="false"/>
    </xf>
    <xf numFmtId="164" fontId="17" fillId="3" borderId="7" xfId="0" applyFont="true" applyBorder="true" applyAlignment="true" applyProtection="false">
      <alignment horizontal="general" vertical="bottom" textRotation="0" wrapText="true" indent="0" shrinkToFit="false"/>
      <protection locked="true" hidden="false"/>
    </xf>
    <xf numFmtId="169" fontId="17" fillId="3" borderId="7" xfId="0" applyFont="true" applyBorder="true" applyAlignment="true" applyProtection="false">
      <alignment horizontal="center" vertical="bottom" textRotation="0" wrapText="tru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21" fillId="9" borderId="7" xfId="0" applyFont="true" applyBorder="true" applyAlignment="true" applyProtection="false">
      <alignment horizontal="center" vertical="bottom" textRotation="0" wrapText="true" indent="0" shrinkToFit="false"/>
      <protection locked="true" hidden="false"/>
    </xf>
    <xf numFmtId="164" fontId="22" fillId="10" borderId="7" xfId="0" applyFont="true" applyBorder="true" applyAlignment="true" applyProtection="false">
      <alignment horizontal="general" vertical="bottom" textRotation="0" wrapText="false" indent="0" shrinkToFit="false"/>
      <protection locked="true" hidden="false"/>
    </xf>
    <xf numFmtId="164" fontId="22" fillId="0" borderId="7" xfId="0" applyFont="true" applyBorder="true" applyAlignment="true" applyProtection="false">
      <alignment horizontal="general" vertical="bottom" textRotation="0" wrapText="false" indent="0" shrinkToFit="false"/>
      <protection locked="true" hidden="false"/>
    </xf>
    <xf numFmtId="164" fontId="21" fillId="6" borderId="17" xfId="0" applyFont="true" applyBorder="true" applyAlignment="true" applyProtection="false">
      <alignment horizontal="general" vertical="bottom" textRotation="0" wrapText="false" indent="0" shrinkToFit="false"/>
      <protection locked="true" hidden="false"/>
    </xf>
    <xf numFmtId="164" fontId="21" fillId="6" borderId="18" xfId="0" applyFont="true" applyBorder="true" applyAlignment="true" applyProtection="false">
      <alignment horizontal="general" vertical="bottom" textRotation="0" wrapText="true" indent="0" shrinkToFit="false"/>
      <protection locked="true" hidden="false"/>
    </xf>
    <xf numFmtId="164" fontId="22" fillId="6" borderId="7" xfId="0" applyFont="true" applyBorder="true" applyAlignment="true" applyProtection="false">
      <alignment horizontal="general" vertical="bottom" textRotation="0" wrapText="false" indent="0" shrinkToFit="false"/>
      <protection locked="true" hidden="false"/>
    </xf>
    <xf numFmtId="169" fontId="22" fillId="6" borderId="7" xfId="0" applyFont="true" applyBorder="true" applyAlignment="true" applyProtection="false">
      <alignment horizontal="general" vertical="bottom" textRotation="0" wrapText="false" indent="0" shrinkToFit="false"/>
      <protection locked="true" hidden="false"/>
    </xf>
    <xf numFmtId="164" fontId="20" fillId="7" borderId="7" xfId="0" applyFont="true" applyBorder="true" applyAlignment="true" applyProtection="false">
      <alignment horizontal="general" vertical="bottom" textRotation="0" wrapText="true" indent="0" shrinkToFit="false"/>
      <protection locked="true" hidden="false"/>
    </xf>
    <xf numFmtId="164" fontId="22" fillId="7" borderId="7" xfId="0" applyFont="true" applyBorder="true" applyAlignment="true" applyProtection="false">
      <alignment horizontal="general" vertical="bottom" textRotation="0" wrapText="false" indent="0" shrinkToFit="false"/>
      <protection locked="true" hidden="false"/>
    </xf>
    <xf numFmtId="169" fontId="22" fillId="7" borderId="7" xfId="0" applyFont="true" applyBorder="true" applyAlignment="true" applyProtection="false">
      <alignment horizontal="general" vertical="bottom" textRotation="0" wrapText="false" indent="0" shrinkToFit="false"/>
      <protection locked="true" hidden="false"/>
    </xf>
    <xf numFmtId="164" fontId="20" fillId="0" borderId="7" xfId="0" applyFont="true" applyBorder="true" applyAlignment="true" applyProtection="false">
      <alignment horizontal="general" vertical="top" textRotation="0" wrapText="true" indent="0" shrinkToFit="false"/>
      <protection locked="true" hidden="false"/>
    </xf>
    <xf numFmtId="164" fontId="24" fillId="6" borderId="7" xfId="0" applyFont="true" applyBorder="true" applyAlignment="true" applyProtection="false">
      <alignment horizontal="center" vertical="center" textRotation="0" wrapText="true" indent="0" shrinkToFit="false"/>
      <protection locked="true" hidden="false"/>
    </xf>
    <xf numFmtId="171" fontId="20" fillId="0" borderId="7" xfId="0" applyFont="true" applyBorder="true" applyAlignment="true" applyProtection="false">
      <alignment horizontal="general" vertical="top" textRotation="0" wrapText="true" indent="0" shrinkToFit="false"/>
      <protection locked="true" hidden="false"/>
    </xf>
    <xf numFmtId="164" fontId="20" fillId="2" borderId="7"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bottom" textRotation="0" wrapText="true" indent="0" shrinkToFit="false"/>
      <protection locked="true" hidden="false"/>
    </xf>
    <xf numFmtId="164" fontId="25" fillId="2" borderId="0" xfId="0" applyFont="true" applyBorder="false" applyAlignment="true" applyProtection="false">
      <alignment horizontal="general" vertical="bottom" textRotation="0" wrapText="false" indent="0" shrinkToFit="false"/>
      <protection locked="true" hidden="false"/>
    </xf>
    <xf numFmtId="166" fontId="5" fillId="2" borderId="0" xfId="0" applyFont="true" applyBorder="false" applyAlignment="tru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left" vertical="bottom" textRotation="0" wrapText="true" indent="0" shrinkToFit="false"/>
      <protection locked="true" hidden="false"/>
    </xf>
    <xf numFmtId="164" fontId="8" fillId="2" borderId="2" xfId="0" applyFont="true" applyBorder="true" applyAlignment="true" applyProtection="false">
      <alignment horizontal="left"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5" fontId="8" fillId="2" borderId="2" xfId="0" applyFont="true" applyBorder="true" applyAlignment="true" applyProtection="false">
      <alignment horizontal="left" vertical="bottom"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5" fillId="2" borderId="19" xfId="0" applyFont="true" applyBorder="true" applyAlignment="true" applyProtection="false">
      <alignment horizontal="general" vertical="bottom" textRotation="0" wrapText="false" indent="0" shrinkToFit="false"/>
      <protection locked="true" hidden="false"/>
    </xf>
    <xf numFmtId="164" fontId="10" fillId="3" borderId="20" xfId="0" applyFont="true" applyBorder="true" applyAlignment="true" applyProtection="false">
      <alignment horizontal="center" vertical="bottom" textRotation="0" wrapText="true" indent="0" shrinkToFit="false"/>
      <protection locked="true" hidden="false"/>
    </xf>
    <xf numFmtId="164" fontId="10" fillId="3" borderId="4" xfId="0" applyFont="true" applyBorder="true" applyAlignment="true" applyProtection="false">
      <alignment horizontal="center" vertical="bottom" textRotation="0" wrapText="true" indent="0" shrinkToFit="false"/>
      <protection locked="true" hidden="false"/>
    </xf>
    <xf numFmtId="164" fontId="10" fillId="3" borderId="13" xfId="0" applyFont="true" applyBorder="true" applyAlignment="true" applyProtection="false">
      <alignment horizontal="center" vertical="bottom" textRotation="0" wrapText="true" indent="0" shrinkToFit="false"/>
      <protection locked="true" hidden="false"/>
    </xf>
    <xf numFmtId="164" fontId="10" fillId="3" borderId="21" xfId="0" applyFont="true" applyBorder="true" applyAlignment="true" applyProtection="false">
      <alignment horizontal="center" vertical="bottom" textRotation="0" wrapText="true" indent="0" shrinkToFit="false"/>
      <protection locked="true" hidden="false"/>
    </xf>
    <xf numFmtId="164" fontId="5" fillId="2" borderId="18" xfId="0" applyFont="true" applyBorder="true" applyAlignment="true" applyProtection="false">
      <alignment horizontal="center" vertical="bottom" textRotation="0" wrapText="true" indent="0" shrinkToFit="false"/>
      <protection locked="true" hidden="false"/>
    </xf>
    <xf numFmtId="164" fontId="5" fillId="2" borderId="7" xfId="0" applyFont="true" applyBorder="true" applyAlignment="true" applyProtection="false">
      <alignment horizontal="general" vertical="bottom" textRotation="0" wrapText="true" indent="0" shrinkToFit="false"/>
      <protection locked="true" hidden="false"/>
    </xf>
    <xf numFmtId="170" fontId="5" fillId="2" borderId="7" xfId="0" applyFont="true" applyBorder="true" applyAlignment="true" applyProtection="false">
      <alignment horizontal="center" vertical="bottom" textRotation="0" wrapText="true" indent="0" shrinkToFit="false"/>
      <protection locked="true" hidden="false"/>
    </xf>
    <xf numFmtId="170" fontId="5" fillId="2" borderId="17" xfId="0" applyFont="true" applyBorder="true" applyAlignment="true" applyProtection="false">
      <alignment horizontal="center" vertical="bottom" textRotation="0" wrapText="true" indent="0" shrinkToFit="false"/>
      <protection locked="true" hidden="false"/>
    </xf>
    <xf numFmtId="170" fontId="5" fillId="2" borderId="22" xfId="0" applyFont="true" applyBorder="true" applyAlignment="true" applyProtection="false">
      <alignment horizontal="center" vertical="bottom" textRotation="0" wrapText="true" indent="0" shrinkToFit="false"/>
      <protection locked="true" hidden="false"/>
    </xf>
    <xf numFmtId="164" fontId="26" fillId="3" borderId="23" xfId="0" applyFont="true" applyBorder="true" applyAlignment="true" applyProtection="false">
      <alignment horizontal="center" vertical="bottom" textRotation="0" wrapText="false" indent="0" shrinkToFit="false"/>
      <protection locked="true" hidden="false"/>
    </xf>
    <xf numFmtId="164" fontId="10" fillId="3" borderId="10" xfId="0" applyFont="true" applyBorder="true" applyAlignment="true" applyProtection="false">
      <alignment horizontal="general" vertical="bottom" textRotation="0" wrapText="true" indent="0" shrinkToFit="false"/>
      <protection locked="true" hidden="false"/>
    </xf>
    <xf numFmtId="170" fontId="26" fillId="3" borderId="10" xfId="0" applyFont="true" applyBorder="true" applyAlignment="true" applyProtection="false">
      <alignment horizontal="center" vertical="bottom" textRotation="0" wrapText="true" indent="0" shrinkToFit="false"/>
      <protection locked="true" hidden="false"/>
    </xf>
    <xf numFmtId="170" fontId="26" fillId="3" borderId="24"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72" fontId="5" fillId="2" borderId="0" xfId="0" applyFont="true" applyBorder="false" applyAlignment="true" applyProtection="false">
      <alignment horizontal="center" vertical="bottom" textRotation="0" wrapText="false" indent="0" shrinkToFit="false"/>
      <protection locked="true" hidden="false"/>
    </xf>
    <xf numFmtId="173" fontId="5" fillId="2"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true" indent="0" shrinkToFit="false"/>
      <protection locked="true" hidden="false"/>
    </xf>
    <xf numFmtId="174" fontId="27" fillId="2" borderId="0" xfId="0" applyFont="true" applyBorder="false" applyAlignment="true" applyProtection="false">
      <alignment horizontal="right"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8EAADB"/>
        </patternFill>
      </fill>
    </dxf>
    <dxf>
      <fill>
        <patternFill>
          <bgColor rgb="FFA9D08E"/>
        </patternFill>
      </fill>
    </dxf>
    <dxf>
      <fill>
        <patternFill>
          <bgColor rgb="FFFF7C80"/>
        </patternFill>
      </fill>
    </dxf>
    <dxf>
      <fill>
        <patternFill>
          <bgColor rgb="FFFFD965"/>
        </patternFill>
      </fill>
    </dxf>
    <dxf>
      <fill>
        <patternFill>
          <bgColor rgb="FFD8D8D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8D8"/>
      <rgbColor rgb="FF808080"/>
      <rgbColor rgb="FF8EAADB"/>
      <rgbColor rgb="FF993366"/>
      <rgbColor rgb="FFFFFFCC"/>
      <rgbColor rgb="FFD9E2F3"/>
      <rgbColor rgb="FF660066"/>
      <rgbColor rgb="FFFF7C80"/>
      <rgbColor rgb="FF0066CC"/>
      <rgbColor rgb="FFBDD6EE"/>
      <rgbColor rgb="FF000080"/>
      <rgbColor rgb="FFFF00FF"/>
      <rgbColor rgb="FFFFFF00"/>
      <rgbColor rgb="FF00FFFF"/>
      <rgbColor rgb="FF800080"/>
      <rgbColor rgb="FF800000"/>
      <rgbColor rgb="FF008080"/>
      <rgbColor rgb="FF0000FF"/>
      <rgbColor rgb="FF00CCFF"/>
      <rgbColor rgb="FFCCFFFF"/>
      <rgbColor rgb="FFE2EFD9"/>
      <rgbColor rgb="FFFFFF99"/>
      <rgbColor rgb="FFA9D08E"/>
      <rgbColor rgb="FFFF99CC"/>
      <rgbColor rgb="FFCC99FF"/>
      <rgbColor rgb="FFFFD96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t3.xlsx" TargetMode="External"/><Relationship Id="rId2" Type="http://schemas.openxmlformats.org/officeDocument/2006/relationships/hyperlink" Target="t3.xlsx" TargetMode="External"/><Relationship Id="rId3" Type="http://schemas.openxmlformats.org/officeDocument/2006/relationships/hyperlink" Target="t3.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7"/>
    <col collapsed="false" customWidth="true" hidden="false" outlineLevel="0" max="2" min="2" style="1" width="22.42"/>
    <col collapsed="false" customWidth="true" hidden="false" outlineLevel="0" max="3" min="3" style="1" width="10.58"/>
    <col collapsed="false" customWidth="true" hidden="false" outlineLevel="0" max="4" min="4" style="1" width="16.58"/>
    <col collapsed="false" customWidth="true" hidden="false" outlineLevel="0" max="5" min="5" style="1" width="9.14"/>
    <col collapsed="false" customWidth="true" hidden="false" outlineLevel="0" max="6" min="6" style="1" width="35.58"/>
    <col collapsed="false" customWidth="true" hidden="false" outlineLevel="0" max="7" min="7" style="1" width="35.43"/>
    <col collapsed="false" customWidth="true" hidden="false" outlineLevel="0" max="26" min="8" style="1" width="9.14"/>
  </cols>
  <sheetData>
    <row r="1" customFormat="false" ht="12.75" hidden="false" customHeight="true" outlineLevel="0" collapsed="false">
      <c r="A1" s="2"/>
      <c r="B1" s="3"/>
      <c r="C1" s="4"/>
      <c r="D1" s="4"/>
      <c r="E1" s="4"/>
      <c r="F1" s="4"/>
      <c r="G1" s="4"/>
      <c r="H1" s="2"/>
      <c r="I1" s="2"/>
      <c r="J1" s="2"/>
      <c r="K1" s="2"/>
      <c r="L1" s="2"/>
      <c r="M1" s="2"/>
      <c r="N1" s="2"/>
      <c r="O1" s="2"/>
      <c r="P1" s="2"/>
      <c r="Q1" s="2"/>
      <c r="R1" s="2"/>
      <c r="S1" s="2"/>
      <c r="T1" s="2"/>
      <c r="U1" s="2"/>
      <c r="V1" s="2"/>
      <c r="W1" s="2"/>
      <c r="X1" s="2"/>
      <c r="Y1" s="2"/>
      <c r="Z1" s="2"/>
    </row>
    <row r="2" customFormat="false" ht="75.75" hidden="false" customHeight="true" outlineLevel="0" collapsed="false">
      <c r="A2" s="5"/>
      <c r="B2" s="6" t="s">
        <v>0</v>
      </c>
      <c r="C2" s="6"/>
      <c r="D2" s="6"/>
      <c r="E2" s="6"/>
      <c r="F2" s="6"/>
      <c r="G2" s="6"/>
      <c r="H2" s="7"/>
      <c r="I2" s="7"/>
      <c r="J2" s="7"/>
      <c r="K2" s="7"/>
      <c r="L2" s="7"/>
      <c r="M2" s="7"/>
      <c r="N2" s="7"/>
      <c r="O2" s="7"/>
      <c r="P2" s="7"/>
      <c r="Q2" s="7"/>
      <c r="R2" s="7"/>
      <c r="S2" s="7"/>
      <c r="T2" s="7"/>
      <c r="U2" s="7"/>
      <c r="V2" s="7"/>
      <c r="W2" s="7"/>
      <c r="X2" s="7"/>
      <c r="Y2" s="7"/>
      <c r="Z2" s="7"/>
    </row>
    <row r="3" customFormat="false" ht="12.75" hidden="false" customHeight="true" outlineLevel="0" collapsed="false">
      <c r="A3" s="2"/>
      <c r="B3" s="8"/>
      <c r="C3" s="9"/>
      <c r="D3" s="4"/>
      <c r="E3" s="4"/>
      <c r="F3" s="10"/>
      <c r="G3" s="4"/>
      <c r="H3" s="2"/>
      <c r="I3" s="2"/>
      <c r="J3" s="2"/>
      <c r="K3" s="2"/>
      <c r="L3" s="2"/>
      <c r="M3" s="2"/>
      <c r="N3" s="2"/>
      <c r="O3" s="2"/>
      <c r="P3" s="2"/>
      <c r="Q3" s="2"/>
      <c r="R3" s="2"/>
      <c r="S3" s="2"/>
      <c r="T3" s="2"/>
      <c r="U3" s="2"/>
      <c r="V3" s="2"/>
      <c r="W3" s="2"/>
      <c r="X3" s="2"/>
      <c r="Y3" s="2"/>
      <c r="Z3" s="2"/>
    </row>
    <row r="4" customFormat="false" ht="14.25" hidden="false" customHeight="true" outlineLevel="0" collapsed="false">
      <c r="A4" s="2"/>
      <c r="B4" s="11" t="s">
        <v>1</v>
      </c>
      <c r="C4" s="12" t="s">
        <v>2</v>
      </c>
      <c r="D4" s="12"/>
      <c r="E4" s="12"/>
      <c r="F4" s="11" t="s">
        <v>3</v>
      </c>
      <c r="G4" s="13" t="s">
        <v>4</v>
      </c>
      <c r="H4" s="2"/>
      <c r="I4" s="2"/>
      <c r="J4" s="2"/>
      <c r="K4" s="2"/>
      <c r="L4" s="2"/>
      <c r="M4" s="2"/>
      <c r="N4" s="2"/>
      <c r="O4" s="2"/>
      <c r="P4" s="2"/>
      <c r="Q4" s="2"/>
      <c r="R4" s="2"/>
      <c r="S4" s="2"/>
      <c r="T4" s="2"/>
      <c r="U4" s="2"/>
      <c r="V4" s="2"/>
      <c r="W4" s="2"/>
      <c r="X4" s="2"/>
      <c r="Y4" s="2"/>
      <c r="Z4" s="2"/>
    </row>
    <row r="5" customFormat="false" ht="14.25" hidden="false" customHeight="true" outlineLevel="0" collapsed="false">
      <c r="A5" s="2"/>
      <c r="B5" s="11" t="s">
        <v>5</v>
      </c>
      <c r="C5" s="12" t="s">
        <v>6</v>
      </c>
      <c r="D5" s="12"/>
      <c r="E5" s="12"/>
      <c r="F5" s="11" t="s">
        <v>7</v>
      </c>
      <c r="G5" s="14"/>
      <c r="H5" s="2"/>
      <c r="I5" s="2"/>
      <c r="J5" s="2"/>
      <c r="K5" s="2"/>
      <c r="L5" s="2"/>
      <c r="M5" s="2"/>
      <c r="N5" s="2"/>
      <c r="O5" s="2"/>
      <c r="P5" s="2"/>
      <c r="Q5" s="2"/>
      <c r="R5" s="2"/>
      <c r="S5" s="2"/>
      <c r="T5" s="2"/>
      <c r="U5" s="2"/>
      <c r="V5" s="2"/>
      <c r="W5" s="2"/>
      <c r="X5" s="2"/>
      <c r="Y5" s="2"/>
      <c r="Z5" s="2"/>
    </row>
    <row r="6" customFormat="false" ht="15.75" hidden="false" customHeight="true" outlineLevel="0" collapsed="false">
      <c r="A6" s="2"/>
      <c r="B6" s="15" t="s">
        <v>8</v>
      </c>
      <c r="C6" s="16" t="str">
        <f aca="false">C5&amp;"_TestCase_V0.1"</f>
        <v>OHRM-REC_TestCase_V0.1</v>
      </c>
      <c r="D6" s="16"/>
      <c r="E6" s="16"/>
      <c r="F6" s="11" t="s">
        <v>9</v>
      </c>
      <c r="G6" s="17" t="n">
        <v>46322</v>
      </c>
      <c r="H6" s="2"/>
      <c r="I6" s="2"/>
      <c r="J6" s="2"/>
      <c r="K6" s="2"/>
      <c r="L6" s="2"/>
      <c r="M6" s="2"/>
      <c r="N6" s="2"/>
      <c r="O6" s="2"/>
      <c r="P6" s="2"/>
      <c r="Q6" s="2"/>
      <c r="R6" s="2"/>
      <c r="S6" s="2"/>
      <c r="T6" s="2"/>
      <c r="U6" s="2"/>
      <c r="V6" s="2"/>
      <c r="W6" s="2"/>
      <c r="X6" s="2"/>
      <c r="Y6" s="2"/>
      <c r="Z6" s="2"/>
    </row>
    <row r="7" customFormat="false" ht="13.5" hidden="false" customHeight="true" outlineLevel="0" collapsed="false">
      <c r="A7" s="2"/>
      <c r="B7" s="15"/>
      <c r="C7" s="16"/>
      <c r="D7" s="16"/>
      <c r="E7" s="16"/>
      <c r="F7" s="11" t="s">
        <v>10</v>
      </c>
      <c r="G7" s="18" t="n">
        <v>0.1</v>
      </c>
      <c r="H7" s="2"/>
      <c r="I7" s="2"/>
      <c r="J7" s="2"/>
      <c r="K7" s="2"/>
      <c r="L7" s="2"/>
      <c r="M7" s="2"/>
      <c r="N7" s="2"/>
      <c r="O7" s="2"/>
      <c r="P7" s="2"/>
      <c r="Q7" s="2"/>
      <c r="R7" s="2"/>
      <c r="S7" s="2"/>
      <c r="T7" s="2"/>
      <c r="U7" s="2"/>
      <c r="V7" s="2"/>
      <c r="W7" s="2"/>
      <c r="X7" s="2"/>
      <c r="Y7" s="2"/>
      <c r="Z7" s="2"/>
    </row>
    <row r="8" customFormat="false" ht="12.75" hidden="false" customHeight="true" outlineLevel="0" collapsed="false">
      <c r="A8" s="2"/>
      <c r="B8" s="19"/>
      <c r="C8" s="9"/>
      <c r="D8" s="4"/>
      <c r="E8" s="4"/>
      <c r="F8" s="8"/>
      <c r="G8" s="9"/>
      <c r="H8" s="2"/>
      <c r="I8" s="2"/>
      <c r="J8" s="2"/>
      <c r="K8" s="2"/>
      <c r="L8" s="2"/>
      <c r="M8" s="2"/>
      <c r="N8" s="2"/>
      <c r="O8" s="2"/>
      <c r="P8" s="2"/>
      <c r="Q8" s="2"/>
      <c r="R8" s="2"/>
      <c r="S8" s="2"/>
      <c r="T8" s="2"/>
      <c r="U8" s="2"/>
      <c r="V8" s="2"/>
      <c r="W8" s="2"/>
      <c r="X8" s="2"/>
      <c r="Y8" s="2"/>
      <c r="Z8" s="2"/>
    </row>
    <row r="9" customFormat="false" ht="12.75" hidden="false" customHeight="true" outlineLevel="0" collapsed="false">
      <c r="A9" s="2"/>
      <c r="B9" s="3"/>
      <c r="C9" s="4"/>
      <c r="D9" s="4"/>
      <c r="E9" s="4"/>
      <c r="F9" s="4"/>
      <c r="G9" s="4"/>
      <c r="H9" s="2"/>
      <c r="I9" s="2"/>
      <c r="J9" s="2"/>
      <c r="K9" s="2"/>
      <c r="L9" s="2"/>
      <c r="M9" s="2"/>
      <c r="N9" s="2"/>
      <c r="O9" s="2"/>
      <c r="P9" s="2"/>
      <c r="Q9" s="2"/>
      <c r="R9" s="2"/>
      <c r="S9" s="2"/>
      <c r="T9" s="2"/>
      <c r="U9" s="2"/>
      <c r="V9" s="2"/>
      <c r="W9" s="2"/>
      <c r="X9" s="2"/>
      <c r="Y9" s="2"/>
      <c r="Z9" s="2"/>
    </row>
    <row r="10" customFormat="false" ht="12.75" hidden="false" customHeight="true" outlineLevel="0" collapsed="false">
      <c r="A10" s="2"/>
      <c r="B10" s="20" t="s">
        <v>11</v>
      </c>
      <c r="C10" s="4"/>
      <c r="D10" s="4"/>
      <c r="E10" s="4"/>
      <c r="F10" s="4"/>
      <c r="G10" s="4"/>
      <c r="H10" s="2"/>
      <c r="I10" s="2"/>
      <c r="J10" s="2"/>
      <c r="K10" s="2"/>
      <c r="L10" s="2"/>
      <c r="M10" s="2"/>
      <c r="N10" s="2"/>
      <c r="O10" s="2"/>
      <c r="P10" s="2"/>
      <c r="Q10" s="2"/>
      <c r="R10" s="2"/>
      <c r="S10" s="2"/>
      <c r="T10" s="2"/>
      <c r="U10" s="2"/>
      <c r="V10" s="2"/>
      <c r="W10" s="2"/>
      <c r="X10" s="2"/>
      <c r="Y10" s="2"/>
      <c r="Z10" s="2"/>
    </row>
    <row r="11" customFormat="false" ht="12.75" hidden="false" customHeight="true" outlineLevel="0" collapsed="false">
      <c r="A11" s="21"/>
      <c r="B11" s="22" t="s">
        <v>12</v>
      </c>
      <c r="C11" s="23" t="s">
        <v>10</v>
      </c>
      <c r="D11" s="23" t="s">
        <v>13</v>
      </c>
      <c r="E11" s="23" t="s">
        <v>14</v>
      </c>
      <c r="F11" s="23" t="s">
        <v>15</v>
      </c>
      <c r="G11" s="24" t="s">
        <v>16</v>
      </c>
      <c r="H11" s="21"/>
      <c r="I11" s="21"/>
      <c r="J11" s="21"/>
      <c r="K11" s="21"/>
      <c r="L11" s="21"/>
      <c r="M11" s="21"/>
      <c r="N11" s="21"/>
      <c r="O11" s="21"/>
      <c r="P11" s="21"/>
      <c r="Q11" s="21"/>
      <c r="R11" s="21"/>
      <c r="S11" s="21"/>
      <c r="T11" s="21"/>
      <c r="U11" s="21"/>
      <c r="V11" s="21"/>
      <c r="W11" s="21"/>
      <c r="X11" s="21"/>
      <c r="Y11" s="21"/>
      <c r="Z11" s="21"/>
    </row>
    <row r="12" customFormat="false" ht="48" hidden="false" customHeight="true" outlineLevel="0" collapsed="false">
      <c r="A12" s="25"/>
      <c r="B12" s="26" t="n">
        <v>46322</v>
      </c>
      <c r="C12" s="27" t="s">
        <v>17</v>
      </c>
      <c r="D12" s="28"/>
      <c r="E12" s="29" t="s">
        <v>18</v>
      </c>
      <c r="F12" s="29" t="s">
        <v>19</v>
      </c>
      <c r="G12" s="30" t="s">
        <v>20</v>
      </c>
      <c r="H12" s="25"/>
      <c r="I12" s="25"/>
      <c r="J12" s="25"/>
      <c r="K12" s="25"/>
      <c r="L12" s="25"/>
      <c r="M12" s="25"/>
      <c r="N12" s="25"/>
      <c r="O12" s="25"/>
      <c r="P12" s="25"/>
      <c r="Q12" s="25"/>
      <c r="R12" s="25"/>
      <c r="S12" s="25"/>
      <c r="T12" s="25"/>
      <c r="U12" s="25"/>
      <c r="V12" s="25"/>
      <c r="W12" s="25"/>
      <c r="X12" s="25"/>
      <c r="Y12" s="25"/>
      <c r="Z12" s="25"/>
    </row>
    <row r="13" customFormat="false" ht="48" hidden="false" customHeight="true" outlineLevel="0" collapsed="false">
      <c r="A13" s="25"/>
      <c r="B13" s="31"/>
      <c r="C13" s="27"/>
      <c r="D13" s="28"/>
      <c r="E13" s="29"/>
      <c r="F13" s="29"/>
      <c r="G13" s="30"/>
      <c r="H13" s="25"/>
      <c r="I13" s="25"/>
      <c r="J13" s="25"/>
      <c r="K13" s="25"/>
      <c r="L13" s="25"/>
      <c r="M13" s="25"/>
      <c r="N13" s="25"/>
      <c r="O13" s="25"/>
      <c r="P13" s="25"/>
      <c r="Q13" s="25"/>
      <c r="R13" s="25"/>
      <c r="S13" s="25"/>
      <c r="T13" s="25"/>
      <c r="U13" s="25"/>
      <c r="V13" s="25"/>
      <c r="W13" s="25"/>
      <c r="X13" s="25"/>
      <c r="Y13" s="25"/>
      <c r="Z13" s="25"/>
    </row>
    <row r="14" customFormat="false" ht="19.5" hidden="false" customHeight="true" outlineLevel="0" collapsed="false">
      <c r="A14" s="25"/>
      <c r="B14" s="32"/>
      <c r="C14" s="33"/>
      <c r="D14" s="34"/>
      <c r="E14" s="34"/>
      <c r="F14" s="34"/>
      <c r="G14" s="35"/>
      <c r="H14" s="25"/>
      <c r="I14" s="25"/>
      <c r="J14" s="25"/>
      <c r="K14" s="25"/>
      <c r="L14" s="25"/>
      <c r="M14" s="25"/>
      <c r="N14" s="25"/>
      <c r="O14" s="25"/>
      <c r="P14" s="25"/>
      <c r="Q14" s="25"/>
      <c r="R14" s="25"/>
      <c r="S14" s="25"/>
      <c r="T14" s="25"/>
      <c r="U14" s="25"/>
      <c r="V14" s="25"/>
      <c r="W14" s="25"/>
      <c r="X14" s="25"/>
      <c r="Y14" s="25"/>
      <c r="Z14" s="25"/>
    </row>
    <row r="15" customFormat="false" ht="21.75" hidden="false" customHeight="true" outlineLevel="0" collapsed="false">
      <c r="A15" s="25"/>
      <c r="B15" s="32"/>
      <c r="C15" s="33"/>
      <c r="D15" s="34"/>
      <c r="E15" s="34"/>
      <c r="F15" s="34"/>
      <c r="G15" s="35"/>
      <c r="H15" s="25"/>
      <c r="I15" s="25"/>
      <c r="J15" s="25"/>
      <c r="K15" s="25"/>
      <c r="L15" s="25"/>
      <c r="M15" s="25"/>
      <c r="N15" s="25"/>
      <c r="O15" s="25"/>
      <c r="P15" s="25"/>
      <c r="Q15" s="25"/>
      <c r="R15" s="25"/>
      <c r="S15" s="25"/>
      <c r="T15" s="25"/>
      <c r="U15" s="25"/>
      <c r="V15" s="25"/>
      <c r="W15" s="25"/>
      <c r="X15" s="25"/>
      <c r="Y15" s="25"/>
      <c r="Z15" s="25"/>
    </row>
    <row r="16" customFormat="false" ht="19.5" hidden="false" customHeight="true" outlineLevel="0" collapsed="false">
      <c r="A16" s="25"/>
      <c r="B16" s="32"/>
      <c r="C16" s="33"/>
      <c r="D16" s="34"/>
      <c r="E16" s="34"/>
      <c r="F16" s="34"/>
      <c r="G16" s="35"/>
      <c r="H16" s="25"/>
      <c r="I16" s="25"/>
      <c r="J16" s="25"/>
      <c r="K16" s="25"/>
      <c r="L16" s="25"/>
      <c r="M16" s="25"/>
      <c r="N16" s="25"/>
      <c r="O16" s="25"/>
      <c r="P16" s="25"/>
      <c r="Q16" s="25"/>
      <c r="R16" s="25"/>
      <c r="S16" s="25"/>
      <c r="T16" s="25"/>
      <c r="U16" s="25"/>
      <c r="V16" s="25"/>
      <c r="W16" s="25"/>
      <c r="X16" s="25"/>
      <c r="Y16" s="25"/>
      <c r="Z16" s="25"/>
    </row>
    <row r="17" customFormat="false" ht="21.75" hidden="false" customHeight="true" outlineLevel="0" collapsed="false">
      <c r="A17" s="25"/>
      <c r="B17" s="32"/>
      <c r="C17" s="33"/>
      <c r="D17" s="34"/>
      <c r="E17" s="34"/>
      <c r="F17" s="34"/>
      <c r="G17" s="35"/>
      <c r="H17" s="25"/>
      <c r="I17" s="25"/>
      <c r="J17" s="25"/>
      <c r="K17" s="25"/>
      <c r="L17" s="25"/>
      <c r="M17" s="25"/>
      <c r="N17" s="25"/>
      <c r="O17" s="25"/>
      <c r="P17" s="25"/>
      <c r="Q17" s="25"/>
      <c r="R17" s="25"/>
      <c r="S17" s="25"/>
      <c r="T17" s="25"/>
      <c r="U17" s="25"/>
      <c r="V17" s="25"/>
      <c r="W17" s="25"/>
      <c r="X17" s="25"/>
      <c r="Y17" s="25"/>
      <c r="Z17" s="25"/>
    </row>
    <row r="18" customFormat="false" ht="19.5" hidden="false" customHeight="true" outlineLevel="0" collapsed="false">
      <c r="A18" s="25"/>
      <c r="B18" s="36"/>
      <c r="C18" s="37"/>
      <c r="D18" s="38"/>
      <c r="E18" s="38"/>
      <c r="F18" s="38"/>
      <c r="G18" s="39"/>
      <c r="H18" s="25"/>
      <c r="I18" s="25"/>
      <c r="J18" s="25"/>
      <c r="K18" s="25"/>
      <c r="L18" s="25"/>
      <c r="M18" s="25"/>
      <c r="N18" s="25"/>
      <c r="O18" s="25"/>
      <c r="P18" s="25"/>
      <c r="Q18" s="25"/>
      <c r="R18" s="25"/>
      <c r="S18" s="25"/>
      <c r="T18" s="25"/>
      <c r="U18" s="25"/>
      <c r="V18" s="25"/>
      <c r="W18" s="25"/>
      <c r="X18" s="25"/>
      <c r="Y18" s="25"/>
      <c r="Z18" s="25"/>
    </row>
    <row r="19" customFormat="false" ht="12.75" hidden="false" customHeight="true" outlineLevel="0" collapsed="false">
      <c r="A19" s="2"/>
      <c r="B19" s="40"/>
      <c r="C19" s="2"/>
      <c r="D19" s="2"/>
      <c r="E19" s="2"/>
      <c r="F19" s="2"/>
      <c r="G19" s="2"/>
      <c r="H19" s="2"/>
      <c r="I19" s="2"/>
      <c r="J19" s="2"/>
      <c r="K19" s="2"/>
      <c r="L19" s="2"/>
      <c r="M19" s="2"/>
      <c r="N19" s="2"/>
      <c r="O19" s="2"/>
      <c r="P19" s="2"/>
      <c r="Q19" s="2"/>
      <c r="R19" s="2"/>
      <c r="S19" s="2"/>
      <c r="T19" s="2"/>
      <c r="U19" s="2"/>
      <c r="V19" s="2"/>
      <c r="W19" s="2"/>
      <c r="X19" s="2"/>
      <c r="Y19" s="2"/>
      <c r="Z19" s="2"/>
    </row>
    <row r="20" customFormat="false" ht="12.75" hidden="false" customHeight="true" outlineLevel="0" collapsed="false">
      <c r="A20" s="2"/>
      <c r="B20" s="40"/>
      <c r="C20" s="2"/>
      <c r="D20" s="2"/>
      <c r="E20" s="2"/>
      <c r="F20" s="2"/>
      <c r="G20" s="2"/>
      <c r="H20" s="2"/>
      <c r="I20" s="2"/>
      <c r="J20" s="2"/>
      <c r="K20" s="2"/>
      <c r="L20" s="2"/>
      <c r="M20" s="2"/>
      <c r="N20" s="2"/>
      <c r="O20" s="2"/>
      <c r="P20" s="2"/>
      <c r="Q20" s="2"/>
      <c r="R20" s="2"/>
      <c r="S20" s="2"/>
      <c r="T20" s="2"/>
      <c r="U20" s="2"/>
      <c r="V20" s="2"/>
      <c r="W20" s="2"/>
      <c r="X20" s="2"/>
      <c r="Y20" s="2"/>
      <c r="Z20" s="2"/>
    </row>
    <row r="21" customFormat="false" ht="12.75" hidden="false" customHeight="true" outlineLevel="0" collapsed="false">
      <c r="A21" s="2"/>
      <c r="B21" s="40"/>
      <c r="C21" s="2"/>
      <c r="D21" s="2"/>
      <c r="E21" s="2"/>
      <c r="F21" s="2"/>
      <c r="G21" s="2"/>
      <c r="H21" s="2"/>
      <c r="I21" s="2"/>
      <c r="J21" s="2"/>
      <c r="K21" s="2"/>
      <c r="L21" s="2"/>
      <c r="M21" s="2"/>
      <c r="N21" s="2"/>
      <c r="O21" s="2"/>
      <c r="P21" s="2"/>
      <c r="Q21" s="2"/>
      <c r="R21" s="2"/>
      <c r="S21" s="2"/>
      <c r="T21" s="2"/>
      <c r="U21" s="2"/>
      <c r="V21" s="2"/>
      <c r="W21" s="2"/>
      <c r="X21" s="2"/>
      <c r="Y21" s="2"/>
      <c r="Z21" s="2"/>
    </row>
    <row r="22" customFormat="false" ht="12.75" hidden="false" customHeight="true" outlineLevel="0" collapsed="false">
      <c r="A22" s="2"/>
      <c r="B22" s="40"/>
      <c r="C22" s="2"/>
      <c r="D22" s="2"/>
      <c r="E22" s="2"/>
      <c r="F22" s="2"/>
      <c r="G22" s="2"/>
      <c r="H22" s="2"/>
      <c r="I22" s="2"/>
      <c r="J22" s="2"/>
      <c r="K22" s="2"/>
      <c r="L22" s="2"/>
      <c r="M22" s="2"/>
      <c r="N22" s="2"/>
      <c r="O22" s="2"/>
      <c r="P22" s="2"/>
      <c r="Q22" s="2"/>
      <c r="R22" s="2"/>
      <c r="S22" s="2"/>
      <c r="T22" s="2"/>
      <c r="U22" s="2"/>
      <c r="V22" s="2"/>
      <c r="W22" s="2"/>
      <c r="X22" s="2"/>
      <c r="Y22" s="2"/>
      <c r="Z22" s="2"/>
    </row>
    <row r="23" customFormat="false" ht="12.75" hidden="false" customHeight="true" outlineLevel="0" collapsed="false">
      <c r="A23" s="2"/>
      <c r="B23" s="40"/>
      <c r="C23" s="2"/>
      <c r="D23" s="2"/>
      <c r="E23" s="2"/>
      <c r="F23" s="2"/>
      <c r="G23" s="2"/>
      <c r="H23" s="2"/>
      <c r="I23" s="2"/>
      <c r="J23" s="2"/>
      <c r="K23" s="2"/>
      <c r="L23" s="2"/>
      <c r="M23" s="2"/>
      <c r="N23" s="2"/>
      <c r="O23" s="2"/>
      <c r="P23" s="2"/>
      <c r="Q23" s="2"/>
      <c r="R23" s="2"/>
      <c r="S23" s="2"/>
      <c r="T23" s="2"/>
      <c r="U23" s="2"/>
      <c r="V23" s="2"/>
      <c r="W23" s="2"/>
      <c r="X23" s="2"/>
      <c r="Y23" s="2"/>
      <c r="Z23" s="2"/>
    </row>
    <row r="24" customFormat="false" ht="12.75" hidden="false" customHeight="true" outlineLevel="0" collapsed="false">
      <c r="A24" s="2"/>
      <c r="B24" s="40"/>
      <c r="C24" s="2"/>
      <c r="D24" s="2"/>
      <c r="E24" s="2"/>
      <c r="F24" s="2"/>
      <c r="G24" s="2"/>
      <c r="H24" s="2"/>
      <c r="I24" s="2"/>
      <c r="J24" s="2"/>
      <c r="K24" s="2"/>
      <c r="L24" s="2"/>
      <c r="M24" s="2"/>
      <c r="N24" s="2"/>
      <c r="O24" s="2"/>
      <c r="P24" s="2"/>
      <c r="Q24" s="2"/>
      <c r="R24" s="2"/>
      <c r="S24" s="2"/>
      <c r="T24" s="2"/>
      <c r="U24" s="2"/>
      <c r="V24" s="2"/>
      <c r="W24" s="2"/>
      <c r="X24" s="2"/>
      <c r="Y24" s="2"/>
      <c r="Z24" s="2"/>
    </row>
    <row r="25" customFormat="false" ht="12.75" hidden="false" customHeight="true" outlineLevel="0" collapsed="false">
      <c r="A25" s="2"/>
      <c r="B25" s="40"/>
      <c r="C25" s="2"/>
      <c r="D25" s="2"/>
      <c r="E25" s="2"/>
      <c r="F25" s="2"/>
      <c r="G25" s="2"/>
      <c r="H25" s="2"/>
      <c r="I25" s="2"/>
      <c r="J25" s="2"/>
      <c r="K25" s="2"/>
      <c r="L25" s="2"/>
      <c r="M25" s="2"/>
      <c r="N25" s="2"/>
      <c r="O25" s="2"/>
      <c r="P25" s="2"/>
      <c r="Q25" s="2"/>
      <c r="R25" s="2"/>
      <c r="S25" s="2"/>
      <c r="T25" s="2"/>
      <c r="U25" s="2"/>
      <c r="V25" s="2"/>
      <c r="W25" s="2"/>
      <c r="X25" s="2"/>
      <c r="Y25" s="2"/>
      <c r="Z25" s="2"/>
    </row>
    <row r="26" customFormat="false" ht="12.75" hidden="false" customHeight="true" outlineLevel="0" collapsed="false">
      <c r="A26" s="2"/>
      <c r="B26" s="40"/>
      <c r="C26" s="2"/>
      <c r="D26" s="2"/>
      <c r="E26" s="2"/>
      <c r="F26" s="2"/>
      <c r="G26" s="2"/>
      <c r="H26" s="2"/>
      <c r="I26" s="2"/>
      <c r="J26" s="2"/>
      <c r="K26" s="2"/>
      <c r="L26" s="2"/>
      <c r="M26" s="2"/>
      <c r="N26" s="2"/>
      <c r="O26" s="2"/>
      <c r="P26" s="2"/>
      <c r="Q26" s="2"/>
      <c r="R26" s="2"/>
      <c r="S26" s="2"/>
      <c r="T26" s="2"/>
      <c r="U26" s="2"/>
      <c r="V26" s="2"/>
      <c r="W26" s="2"/>
      <c r="X26" s="2"/>
      <c r="Y26" s="2"/>
      <c r="Z26" s="2"/>
    </row>
    <row r="27" customFormat="false" ht="12.75" hidden="false" customHeight="true" outlineLevel="0" collapsed="false">
      <c r="A27" s="2"/>
      <c r="B27" s="40"/>
      <c r="C27" s="2"/>
      <c r="D27" s="2"/>
      <c r="E27" s="2"/>
      <c r="F27" s="2"/>
      <c r="G27" s="2"/>
      <c r="H27" s="2"/>
      <c r="I27" s="2"/>
      <c r="J27" s="2"/>
      <c r="K27" s="2"/>
      <c r="L27" s="2"/>
      <c r="M27" s="2"/>
      <c r="N27" s="2"/>
      <c r="O27" s="2"/>
      <c r="P27" s="2"/>
      <c r="Q27" s="2"/>
      <c r="R27" s="2"/>
      <c r="S27" s="2"/>
      <c r="T27" s="2"/>
      <c r="U27" s="2"/>
      <c r="V27" s="2"/>
      <c r="W27" s="2"/>
      <c r="X27" s="2"/>
      <c r="Y27" s="2"/>
      <c r="Z27" s="2"/>
    </row>
    <row r="28" customFormat="false" ht="12.75" hidden="false" customHeight="true" outlineLevel="0" collapsed="false">
      <c r="A28" s="2"/>
      <c r="B28" s="40"/>
      <c r="C28" s="2"/>
      <c r="D28" s="2"/>
      <c r="E28" s="2"/>
      <c r="F28" s="2"/>
      <c r="G28" s="2"/>
      <c r="H28" s="2"/>
      <c r="I28" s="2"/>
      <c r="J28" s="2"/>
      <c r="K28" s="2"/>
      <c r="L28" s="2"/>
      <c r="M28" s="2"/>
      <c r="N28" s="2"/>
      <c r="O28" s="2"/>
      <c r="P28" s="2"/>
      <c r="Q28" s="2"/>
      <c r="R28" s="2"/>
      <c r="S28" s="2"/>
      <c r="T28" s="2"/>
      <c r="U28" s="2"/>
      <c r="V28" s="2"/>
      <c r="W28" s="2"/>
      <c r="X28" s="2"/>
      <c r="Y28" s="2"/>
      <c r="Z28" s="2"/>
    </row>
    <row r="29" customFormat="false" ht="12.75" hidden="false" customHeight="true" outlineLevel="0" collapsed="false">
      <c r="A29" s="2"/>
      <c r="B29" s="40"/>
      <c r="C29" s="2"/>
      <c r="D29" s="2"/>
      <c r="E29" s="2"/>
      <c r="F29" s="2"/>
      <c r="G29" s="2"/>
      <c r="H29" s="2"/>
      <c r="I29" s="2"/>
      <c r="J29" s="2"/>
      <c r="K29" s="2"/>
      <c r="L29" s="2"/>
      <c r="M29" s="2"/>
      <c r="N29" s="2"/>
      <c r="O29" s="2"/>
      <c r="P29" s="2"/>
      <c r="Q29" s="2"/>
      <c r="R29" s="2"/>
      <c r="S29" s="2"/>
      <c r="T29" s="2"/>
      <c r="U29" s="2"/>
      <c r="V29" s="2"/>
      <c r="W29" s="2"/>
      <c r="X29" s="2"/>
      <c r="Y29" s="2"/>
      <c r="Z29" s="2"/>
    </row>
    <row r="30" customFormat="false" ht="12.75" hidden="false" customHeight="true" outlineLevel="0" collapsed="false">
      <c r="A30" s="2"/>
      <c r="B30" s="40"/>
      <c r="C30" s="2"/>
      <c r="D30" s="2"/>
      <c r="E30" s="2"/>
      <c r="F30" s="2"/>
      <c r="G30" s="2"/>
      <c r="H30" s="2"/>
      <c r="I30" s="2"/>
      <c r="J30" s="2"/>
      <c r="K30" s="2"/>
      <c r="L30" s="2"/>
      <c r="M30" s="2"/>
      <c r="N30" s="2"/>
      <c r="O30" s="2"/>
      <c r="P30" s="2"/>
      <c r="Q30" s="2"/>
      <c r="R30" s="2"/>
      <c r="S30" s="2"/>
      <c r="T30" s="2"/>
      <c r="U30" s="2"/>
      <c r="V30" s="2"/>
      <c r="W30" s="2"/>
      <c r="X30" s="2"/>
      <c r="Y30" s="2"/>
      <c r="Z30" s="2"/>
    </row>
    <row r="31" customFormat="false" ht="12.75" hidden="false" customHeight="true" outlineLevel="0" collapsed="false">
      <c r="A31" s="2"/>
      <c r="B31" s="40"/>
      <c r="C31" s="2"/>
      <c r="D31" s="2"/>
      <c r="E31" s="2"/>
      <c r="F31" s="2"/>
      <c r="G31" s="2"/>
      <c r="H31" s="2"/>
      <c r="I31" s="2"/>
      <c r="J31" s="2"/>
      <c r="K31" s="2"/>
      <c r="L31" s="2"/>
      <c r="M31" s="2"/>
      <c r="N31" s="2"/>
      <c r="O31" s="2"/>
      <c r="P31" s="2"/>
      <c r="Q31" s="2"/>
      <c r="R31" s="2"/>
      <c r="S31" s="2"/>
      <c r="T31" s="2"/>
      <c r="U31" s="2"/>
      <c r="V31" s="2"/>
      <c r="W31" s="2"/>
      <c r="X31" s="2"/>
      <c r="Y31" s="2"/>
      <c r="Z31" s="2"/>
    </row>
    <row r="32" customFormat="false" ht="12.75" hidden="false" customHeight="true" outlineLevel="0" collapsed="false">
      <c r="A32" s="2"/>
      <c r="B32" s="40"/>
      <c r="C32" s="2"/>
      <c r="D32" s="2"/>
      <c r="E32" s="2"/>
      <c r="F32" s="2"/>
      <c r="G32" s="2"/>
      <c r="H32" s="2"/>
      <c r="I32" s="2"/>
      <c r="J32" s="2"/>
      <c r="K32" s="2"/>
      <c r="L32" s="2"/>
      <c r="M32" s="2"/>
      <c r="N32" s="2"/>
      <c r="O32" s="2"/>
      <c r="P32" s="2"/>
      <c r="Q32" s="2"/>
      <c r="R32" s="2"/>
      <c r="S32" s="2"/>
      <c r="T32" s="2"/>
      <c r="U32" s="2"/>
      <c r="V32" s="2"/>
      <c r="W32" s="2"/>
      <c r="X32" s="2"/>
      <c r="Y32" s="2"/>
      <c r="Z32" s="2"/>
    </row>
    <row r="33" customFormat="false" ht="12.75" hidden="false" customHeight="true" outlineLevel="0" collapsed="false">
      <c r="A33" s="2"/>
      <c r="B33" s="40"/>
      <c r="C33" s="2"/>
      <c r="D33" s="2"/>
      <c r="E33" s="2"/>
      <c r="F33" s="2"/>
      <c r="G33" s="2"/>
      <c r="H33" s="2"/>
      <c r="I33" s="2"/>
      <c r="J33" s="2"/>
      <c r="K33" s="2"/>
      <c r="L33" s="2"/>
      <c r="M33" s="2"/>
      <c r="N33" s="2"/>
      <c r="O33" s="2"/>
      <c r="P33" s="2"/>
      <c r="Q33" s="2"/>
      <c r="R33" s="2"/>
      <c r="S33" s="2"/>
      <c r="T33" s="2"/>
      <c r="U33" s="2"/>
      <c r="V33" s="2"/>
      <c r="W33" s="2"/>
      <c r="X33" s="2"/>
      <c r="Y33" s="2"/>
      <c r="Z33" s="2"/>
    </row>
    <row r="34" customFormat="false" ht="12.75" hidden="false" customHeight="true" outlineLevel="0" collapsed="false">
      <c r="A34" s="2"/>
      <c r="B34" s="40"/>
      <c r="C34" s="2"/>
      <c r="D34" s="2"/>
      <c r="E34" s="2"/>
      <c r="F34" s="2"/>
      <c r="G34" s="2"/>
      <c r="H34" s="2"/>
      <c r="I34" s="2"/>
      <c r="J34" s="2"/>
      <c r="K34" s="2"/>
      <c r="L34" s="2"/>
      <c r="M34" s="2"/>
      <c r="N34" s="2"/>
      <c r="O34" s="2"/>
      <c r="P34" s="2"/>
      <c r="Q34" s="2"/>
      <c r="R34" s="2"/>
      <c r="S34" s="2"/>
      <c r="T34" s="2"/>
      <c r="U34" s="2"/>
      <c r="V34" s="2"/>
      <c r="W34" s="2"/>
      <c r="X34" s="2"/>
      <c r="Y34" s="2"/>
      <c r="Z34" s="2"/>
    </row>
    <row r="35" customFormat="false" ht="12.75" hidden="false" customHeight="true" outlineLevel="0" collapsed="false">
      <c r="A35" s="2"/>
      <c r="B35" s="40"/>
      <c r="C35" s="2"/>
      <c r="D35" s="2"/>
      <c r="E35" s="2"/>
      <c r="F35" s="2"/>
      <c r="G35" s="2"/>
      <c r="H35" s="2"/>
      <c r="I35" s="2"/>
      <c r="J35" s="2"/>
      <c r="K35" s="2"/>
      <c r="L35" s="2"/>
      <c r="M35" s="2"/>
      <c r="N35" s="2"/>
      <c r="O35" s="2"/>
      <c r="P35" s="2"/>
      <c r="Q35" s="2"/>
      <c r="R35" s="2"/>
      <c r="S35" s="2"/>
      <c r="T35" s="2"/>
      <c r="U35" s="2"/>
      <c r="V35" s="2"/>
      <c r="W35" s="2"/>
      <c r="X35" s="2"/>
      <c r="Y35" s="2"/>
      <c r="Z35" s="2"/>
    </row>
    <row r="36" customFormat="false" ht="12.75" hidden="false" customHeight="true" outlineLevel="0" collapsed="false">
      <c r="A36" s="2"/>
      <c r="B36" s="40"/>
      <c r="C36" s="2"/>
      <c r="D36" s="2"/>
      <c r="E36" s="2"/>
      <c r="F36" s="2"/>
      <c r="G36" s="2"/>
      <c r="H36" s="2"/>
      <c r="I36" s="2"/>
      <c r="J36" s="2"/>
      <c r="K36" s="2"/>
      <c r="L36" s="2"/>
      <c r="M36" s="2"/>
      <c r="N36" s="2"/>
      <c r="O36" s="2"/>
      <c r="P36" s="2"/>
      <c r="Q36" s="2"/>
      <c r="R36" s="2"/>
      <c r="S36" s="2"/>
      <c r="T36" s="2"/>
      <c r="U36" s="2"/>
      <c r="V36" s="2"/>
      <c r="W36" s="2"/>
      <c r="X36" s="2"/>
      <c r="Y36" s="2"/>
      <c r="Z36" s="2"/>
    </row>
    <row r="37" customFormat="false" ht="12.75" hidden="false" customHeight="true" outlineLevel="0" collapsed="false">
      <c r="A37" s="2"/>
      <c r="B37" s="40"/>
      <c r="C37" s="2"/>
      <c r="D37" s="2"/>
      <c r="E37" s="2"/>
      <c r="F37" s="2"/>
      <c r="G37" s="2"/>
      <c r="H37" s="2"/>
      <c r="I37" s="2"/>
      <c r="J37" s="2"/>
      <c r="K37" s="2"/>
      <c r="L37" s="2"/>
      <c r="M37" s="2"/>
      <c r="N37" s="2"/>
      <c r="O37" s="2"/>
      <c r="P37" s="2"/>
      <c r="Q37" s="2"/>
      <c r="R37" s="2"/>
      <c r="S37" s="2"/>
      <c r="T37" s="2"/>
      <c r="U37" s="2"/>
      <c r="V37" s="2"/>
      <c r="W37" s="2"/>
      <c r="X37" s="2"/>
      <c r="Y37" s="2"/>
      <c r="Z37" s="2"/>
    </row>
    <row r="38" customFormat="false" ht="12.75" hidden="false" customHeight="true" outlineLevel="0" collapsed="false">
      <c r="A38" s="2"/>
      <c r="B38" s="40"/>
      <c r="C38" s="2"/>
      <c r="D38" s="2"/>
      <c r="E38" s="2"/>
      <c r="F38" s="2"/>
      <c r="G38" s="2"/>
      <c r="H38" s="2"/>
      <c r="I38" s="2"/>
      <c r="J38" s="2"/>
      <c r="K38" s="2"/>
      <c r="L38" s="2"/>
      <c r="M38" s="2"/>
      <c r="N38" s="2"/>
      <c r="O38" s="2"/>
      <c r="P38" s="2"/>
      <c r="Q38" s="2"/>
      <c r="R38" s="2"/>
      <c r="S38" s="2"/>
      <c r="T38" s="2"/>
      <c r="U38" s="2"/>
      <c r="V38" s="2"/>
      <c r="W38" s="2"/>
      <c r="X38" s="2"/>
      <c r="Y38" s="2"/>
      <c r="Z38" s="2"/>
    </row>
    <row r="39" customFormat="false" ht="12.75" hidden="false" customHeight="true" outlineLevel="0" collapsed="false">
      <c r="A39" s="2"/>
      <c r="B39" s="40"/>
      <c r="C39" s="2"/>
      <c r="D39" s="2"/>
      <c r="E39" s="2"/>
      <c r="F39" s="2"/>
      <c r="G39" s="2"/>
      <c r="H39" s="2"/>
      <c r="I39" s="2"/>
      <c r="J39" s="2"/>
      <c r="K39" s="2"/>
      <c r="L39" s="2"/>
      <c r="M39" s="2"/>
      <c r="N39" s="2"/>
      <c r="O39" s="2"/>
      <c r="P39" s="2"/>
      <c r="Q39" s="2"/>
      <c r="R39" s="2"/>
      <c r="S39" s="2"/>
      <c r="T39" s="2"/>
      <c r="U39" s="2"/>
      <c r="V39" s="2"/>
      <c r="W39" s="2"/>
      <c r="X39" s="2"/>
      <c r="Y39" s="2"/>
      <c r="Z39" s="2"/>
    </row>
    <row r="40" customFormat="false" ht="12.75" hidden="false" customHeight="true" outlineLevel="0" collapsed="false">
      <c r="A40" s="2"/>
      <c r="B40" s="40"/>
      <c r="C40" s="2"/>
      <c r="D40" s="2"/>
      <c r="E40" s="2"/>
      <c r="F40" s="2"/>
      <c r="G40" s="2"/>
      <c r="H40" s="2"/>
      <c r="I40" s="2"/>
      <c r="J40" s="2"/>
      <c r="K40" s="2"/>
      <c r="L40" s="2"/>
      <c r="M40" s="2"/>
      <c r="N40" s="2"/>
      <c r="O40" s="2"/>
      <c r="P40" s="2"/>
      <c r="Q40" s="2"/>
      <c r="R40" s="2"/>
      <c r="S40" s="2"/>
      <c r="T40" s="2"/>
      <c r="U40" s="2"/>
      <c r="V40" s="2"/>
      <c r="W40" s="2"/>
      <c r="X40" s="2"/>
      <c r="Y40" s="2"/>
      <c r="Z40" s="2"/>
    </row>
  </sheetData>
  <mergeCells count="5">
    <mergeCell ref="B2:G2"/>
    <mergeCell ref="C4:E4"/>
    <mergeCell ref="C5:E5"/>
    <mergeCell ref="B6:B7"/>
    <mergeCell ref="C6:E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8"/>
    <col collapsed="false" customWidth="true" hidden="false" outlineLevel="0" max="2" min="2" style="1" width="13.42"/>
    <col collapsed="false" customWidth="true" hidden="false" outlineLevel="0" max="3" min="3" style="1" width="34"/>
    <col collapsed="false" customWidth="true" hidden="false" outlineLevel="0" max="4" min="4" style="1" width="19.58"/>
    <col collapsed="false" customWidth="true" hidden="false" outlineLevel="0" max="5" min="5" style="1" width="50"/>
    <col collapsed="false" customWidth="true" hidden="false" outlineLevel="0" max="6" min="6" style="1" width="45"/>
    <col collapsed="false" customWidth="true" hidden="false" outlineLevel="0" max="26" min="7" style="1" width="9.14"/>
  </cols>
  <sheetData>
    <row r="1" customFormat="false" ht="25.5" hidden="false" customHeight="true" outlineLevel="0" collapsed="false">
      <c r="A1" s="41"/>
      <c r="B1" s="42"/>
      <c r="C1" s="43"/>
      <c r="D1" s="44" t="s">
        <v>21</v>
      </c>
      <c r="E1" s="45"/>
      <c r="F1" s="43"/>
      <c r="G1" s="41"/>
      <c r="H1" s="41"/>
      <c r="I1" s="41"/>
      <c r="J1" s="41"/>
      <c r="K1" s="41"/>
      <c r="L1" s="41"/>
      <c r="M1" s="41"/>
      <c r="N1" s="41"/>
      <c r="O1" s="41"/>
      <c r="P1" s="41"/>
      <c r="Q1" s="41"/>
      <c r="R1" s="41"/>
      <c r="S1" s="41"/>
      <c r="T1" s="41"/>
      <c r="U1" s="41"/>
      <c r="V1" s="41"/>
      <c r="W1" s="41"/>
      <c r="X1" s="41"/>
      <c r="Y1" s="41"/>
      <c r="Z1" s="41"/>
    </row>
    <row r="2" customFormat="false" ht="13.5" hidden="false" customHeight="true" outlineLevel="0" collapsed="false">
      <c r="A2" s="41"/>
      <c r="B2" s="42"/>
      <c r="C2" s="43"/>
      <c r="D2" s="46"/>
      <c r="E2" s="46"/>
      <c r="F2" s="43"/>
      <c r="G2" s="41"/>
      <c r="H2" s="41"/>
      <c r="I2" s="41"/>
      <c r="J2" s="41"/>
      <c r="K2" s="41"/>
      <c r="L2" s="41"/>
      <c r="M2" s="41"/>
      <c r="N2" s="41"/>
      <c r="O2" s="41"/>
      <c r="P2" s="41"/>
      <c r="Q2" s="41"/>
      <c r="R2" s="41"/>
      <c r="S2" s="41"/>
      <c r="T2" s="41"/>
      <c r="U2" s="41"/>
      <c r="V2" s="41"/>
      <c r="W2" s="41"/>
      <c r="X2" s="41"/>
      <c r="Y2" s="41"/>
      <c r="Z2" s="41"/>
    </row>
    <row r="3" customFormat="false" ht="12.75" hidden="false" customHeight="true" outlineLevel="0" collapsed="false">
      <c r="A3" s="41"/>
      <c r="B3" s="47" t="s">
        <v>1</v>
      </c>
      <c r="C3" s="47"/>
      <c r="D3" s="48" t="str">
        <f aca="false">Cover!C4</f>
        <v>OrangeHRM - Recruitment</v>
      </c>
      <c r="E3" s="48"/>
      <c r="F3" s="48"/>
      <c r="G3" s="41"/>
      <c r="H3" s="41"/>
      <c r="I3" s="41"/>
      <c r="J3" s="41"/>
      <c r="K3" s="41"/>
      <c r="L3" s="41"/>
      <c r="M3" s="41"/>
      <c r="N3" s="41"/>
      <c r="O3" s="41"/>
      <c r="P3" s="41"/>
      <c r="Q3" s="41"/>
      <c r="R3" s="41"/>
      <c r="S3" s="41"/>
      <c r="T3" s="41"/>
      <c r="U3" s="41"/>
      <c r="V3" s="41"/>
      <c r="W3" s="41"/>
      <c r="X3" s="41"/>
      <c r="Y3" s="41"/>
      <c r="Z3" s="41"/>
    </row>
    <row r="4" customFormat="false" ht="12.75" hidden="false" customHeight="true" outlineLevel="0" collapsed="false">
      <c r="A4" s="41"/>
      <c r="B4" s="47" t="s">
        <v>5</v>
      </c>
      <c r="C4" s="47"/>
      <c r="D4" s="48" t="str">
        <f aca="false">Cover!C5</f>
        <v>OHRM-REC</v>
      </c>
      <c r="E4" s="48"/>
      <c r="F4" s="48"/>
      <c r="G4" s="41"/>
      <c r="H4" s="41"/>
      <c r="I4" s="41"/>
      <c r="J4" s="41"/>
      <c r="K4" s="41"/>
      <c r="L4" s="41"/>
      <c r="M4" s="41"/>
      <c r="N4" s="41"/>
      <c r="O4" s="41"/>
      <c r="P4" s="41"/>
      <c r="Q4" s="41"/>
      <c r="R4" s="41"/>
      <c r="S4" s="41"/>
      <c r="T4" s="41"/>
      <c r="U4" s="41"/>
      <c r="V4" s="41"/>
      <c r="W4" s="41"/>
      <c r="X4" s="41"/>
      <c r="Y4" s="41"/>
      <c r="Z4" s="41"/>
    </row>
    <row r="5" customFormat="false" ht="135" hidden="false" customHeight="true" outlineLevel="0" collapsed="false">
      <c r="A5" s="49"/>
      <c r="B5" s="50" t="s">
        <v>22</v>
      </c>
      <c r="C5" s="50"/>
      <c r="D5" s="51" t="s">
        <v>23</v>
      </c>
      <c r="E5" s="51"/>
      <c r="F5" s="51"/>
      <c r="G5" s="49"/>
      <c r="H5" s="49"/>
      <c r="I5" s="49"/>
      <c r="J5" s="49"/>
      <c r="K5" s="49"/>
      <c r="L5" s="49"/>
      <c r="M5" s="49"/>
      <c r="N5" s="49"/>
      <c r="O5" s="49"/>
      <c r="P5" s="49"/>
      <c r="Q5" s="49"/>
      <c r="R5" s="49"/>
      <c r="S5" s="49"/>
      <c r="T5" s="49"/>
      <c r="U5" s="49"/>
      <c r="V5" s="49"/>
      <c r="W5" s="49"/>
      <c r="X5" s="49"/>
      <c r="Y5" s="49"/>
      <c r="Z5" s="49"/>
    </row>
    <row r="6" customFormat="false" ht="12.75" hidden="false" customHeight="true" outlineLevel="0" collapsed="false">
      <c r="A6" s="41"/>
      <c r="B6" s="52"/>
      <c r="C6" s="10"/>
      <c r="D6" s="10"/>
      <c r="E6" s="10"/>
      <c r="F6" s="10"/>
      <c r="G6" s="41"/>
      <c r="H6" s="41"/>
      <c r="I6" s="41"/>
      <c r="J6" s="41"/>
      <c r="K6" s="41"/>
      <c r="L6" s="41"/>
      <c r="M6" s="41"/>
      <c r="N6" s="41"/>
      <c r="O6" s="41"/>
      <c r="P6" s="41"/>
      <c r="Q6" s="41"/>
      <c r="R6" s="41"/>
      <c r="S6" s="41"/>
      <c r="T6" s="41"/>
      <c r="U6" s="41"/>
      <c r="V6" s="41"/>
      <c r="W6" s="41"/>
      <c r="X6" s="41"/>
      <c r="Y6" s="41"/>
      <c r="Z6" s="41"/>
    </row>
    <row r="7" customFormat="false" ht="12.75" hidden="false" customHeight="true" outlineLevel="0" collapsed="false">
      <c r="A7" s="53"/>
      <c r="B7" s="54"/>
      <c r="C7" s="55"/>
      <c r="D7" s="55"/>
      <c r="E7" s="55"/>
      <c r="F7" s="55"/>
      <c r="G7" s="53"/>
      <c r="H7" s="53"/>
      <c r="I7" s="53"/>
      <c r="J7" s="53"/>
      <c r="K7" s="53"/>
      <c r="L7" s="53"/>
      <c r="M7" s="53"/>
      <c r="N7" s="53"/>
      <c r="O7" s="53"/>
      <c r="P7" s="53"/>
      <c r="Q7" s="53"/>
      <c r="R7" s="53"/>
      <c r="S7" s="53"/>
      <c r="T7" s="53"/>
      <c r="U7" s="53"/>
      <c r="V7" s="53"/>
      <c r="W7" s="53"/>
      <c r="X7" s="53"/>
      <c r="Y7" s="53"/>
      <c r="Z7" s="53"/>
    </row>
    <row r="8" customFormat="false" ht="21" hidden="false" customHeight="true" outlineLevel="0" collapsed="false">
      <c r="A8" s="56"/>
      <c r="B8" s="57" t="s">
        <v>24</v>
      </c>
      <c r="C8" s="58" t="s">
        <v>25</v>
      </c>
      <c r="D8" s="58" t="s">
        <v>26</v>
      </c>
      <c r="E8" s="59" t="s">
        <v>27</v>
      </c>
      <c r="F8" s="60" t="s">
        <v>28</v>
      </c>
      <c r="G8" s="56"/>
      <c r="H8" s="56"/>
      <c r="I8" s="56"/>
      <c r="J8" s="56"/>
      <c r="K8" s="56"/>
      <c r="L8" s="56"/>
      <c r="M8" s="56"/>
      <c r="N8" s="56"/>
      <c r="O8" s="56"/>
      <c r="P8" s="56"/>
      <c r="Q8" s="56"/>
      <c r="R8" s="56"/>
      <c r="S8" s="56"/>
      <c r="T8" s="56"/>
      <c r="U8" s="56"/>
      <c r="V8" s="56"/>
      <c r="W8" s="56"/>
      <c r="X8" s="56"/>
      <c r="Y8" s="56"/>
      <c r="Z8" s="56"/>
    </row>
    <row r="9" customFormat="false" ht="48" hidden="false" customHeight="true" outlineLevel="0" collapsed="false">
      <c r="A9" s="41"/>
      <c r="B9" s="61" t="n">
        <v>1</v>
      </c>
      <c r="C9" s="62" t="s">
        <v>29</v>
      </c>
      <c r="D9" s="63" t="s">
        <v>30</v>
      </c>
      <c r="E9" s="64" t="s">
        <v>31</v>
      </c>
      <c r="F9" s="65" t="s">
        <v>32</v>
      </c>
      <c r="G9" s="41"/>
      <c r="H9" s="41"/>
      <c r="I9" s="41"/>
      <c r="J9" s="41"/>
      <c r="K9" s="41"/>
      <c r="L9" s="41"/>
      <c r="M9" s="41"/>
      <c r="N9" s="41"/>
      <c r="O9" s="41"/>
      <c r="P9" s="41"/>
      <c r="Q9" s="41"/>
      <c r="R9" s="41"/>
      <c r="S9" s="41"/>
      <c r="T9" s="41"/>
      <c r="U9" s="41"/>
      <c r="V9" s="41"/>
      <c r="W9" s="41"/>
      <c r="X9" s="41"/>
      <c r="Y9" s="41"/>
      <c r="Z9" s="41"/>
    </row>
    <row r="10" customFormat="false" ht="48" hidden="false" customHeight="true" outlineLevel="0" collapsed="false">
      <c r="A10" s="41"/>
      <c r="B10" s="61" t="n">
        <v>2</v>
      </c>
      <c r="C10" s="62" t="s">
        <v>33</v>
      </c>
      <c r="D10" s="63" t="s">
        <v>34</v>
      </c>
      <c r="E10" s="64" t="s">
        <v>35</v>
      </c>
      <c r="F10" s="65" t="s">
        <v>36</v>
      </c>
      <c r="G10" s="41"/>
      <c r="H10" s="41"/>
      <c r="I10" s="41"/>
      <c r="J10" s="41"/>
      <c r="K10" s="41"/>
      <c r="L10" s="41"/>
      <c r="M10" s="41"/>
      <c r="N10" s="41"/>
      <c r="O10" s="41"/>
      <c r="P10" s="41"/>
      <c r="Q10" s="41"/>
      <c r="R10" s="41"/>
      <c r="S10" s="41"/>
      <c r="T10" s="41"/>
      <c r="U10" s="41"/>
      <c r="V10" s="41"/>
      <c r="W10" s="41"/>
      <c r="X10" s="41"/>
      <c r="Y10" s="41"/>
      <c r="Z10" s="41"/>
    </row>
    <row r="11" customFormat="false" ht="48" hidden="false" customHeight="true" outlineLevel="0" collapsed="false">
      <c r="A11" s="41"/>
      <c r="B11" s="61" t="n">
        <v>3</v>
      </c>
      <c r="C11" s="62" t="s">
        <v>37</v>
      </c>
      <c r="D11" s="63" t="s">
        <v>38</v>
      </c>
      <c r="E11" s="64" t="s">
        <v>39</v>
      </c>
      <c r="F11" s="65" t="s">
        <v>40</v>
      </c>
      <c r="G11" s="41"/>
      <c r="H11" s="41"/>
      <c r="I11" s="41"/>
      <c r="J11" s="41"/>
      <c r="K11" s="41"/>
      <c r="L11" s="41"/>
      <c r="M11" s="41"/>
      <c r="N11" s="41"/>
      <c r="O11" s="41"/>
      <c r="P11" s="41"/>
      <c r="Q11" s="41"/>
      <c r="R11" s="41"/>
      <c r="S11" s="41"/>
      <c r="T11" s="41"/>
      <c r="U11" s="41"/>
      <c r="V11" s="41"/>
      <c r="W11" s="41"/>
      <c r="X11" s="41"/>
      <c r="Y11" s="41"/>
      <c r="Z11" s="41"/>
    </row>
    <row r="12" customFormat="false" ht="61.5" hidden="false" customHeight="true" outlineLevel="0" collapsed="false">
      <c r="A12" s="41"/>
      <c r="B12" s="66"/>
      <c r="C12" s="62"/>
      <c r="D12" s="67"/>
      <c r="E12" s="68"/>
      <c r="F12" s="65"/>
      <c r="G12" s="41"/>
      <c r="H12" s="41"/>
      <c r="I12" s="41"/>
      <c r="J12" s="41"/>
      <c r="K12" s="41"/>
      <c r="L12" s="41"/>
      <c r="M12" s="41"/>
      <c r="N12" s="41"/>
      <c r="O12" s="41"/>
      <c r="P12" s="41"/>
      <c r="Q12" s="41"/>
      <c r="R12" s="41"/>
      <c r="S12" s="41"/>
      <c r="T12" s="41"/>
      <c r="U12" s="41"/>
      <c r="V12" s="41"/>
      <c r="W12" s="41"/>
      <c r="X12" s="41"/>
      <c r="Y12" s="41"/>
      <c r="Z12" s="41"/>
    </row>
    <row r="13" customFormat="false" ht="12.75" hidden="false" customHeight="true" outlineLevel="0" collapsed="false">
      <c r="A13" s="41"/>
      <c r="B13" s="69"/>
      <c r="C13" s="70"/>
      <c r="D13" s="71"/>
      <c r="E13" s="71"/>
      <c r="F13" s="72"/>
      <c r="G13" s="41"/>
      <c r="H13" s="41"/>
      <c r="I13" s="41"/>
      <c r="J13" s="41"/>
      <c r="K13" s="41"/>
      <c r="L13" s="41"/>
      <c r="M13" s="41"/>
      <c r="N13" s="41"/>
      <c r="O13" s="41"/>
      <c r="P13" s="41"/>
      <c r="Q13" s="41"/>
      <c r="R13" s="41"/>
      <c r="S13" s="41"/>
      <c r="T13" s="41"/>
      <c r="U13" s="41"/>
      <c r="V13" s="41"/>
      <c r="W13" s="41"/>
      <c r="X13" s="41"/>
      <c r="Y13" s="41"/>
      <c r="Z13" s="41"/>
    </row>
    <row r="14" customFormat="false" ht="12.75" hidden="false" customHeight="true" outlineLevel="0" collapsed="false">
      <c r="A14" s="41"/>
      <c r="B14" s="69"/>
      <c r="C14" s="70"/>
      <c r="D14" s="73"/>
      <c r="E14" s="73"/>
      <c r="F14" s="72"/>
      <c r="G14" s="41"/>
      <c r="H14" s="41"/>
      <c r="I14" s="41"/>
      <c r="J14" s="41"/>
      <c r="K14" s="41"/>
      <c r="L14" s="41"/>
      <c r="M14" s="41"/>
      <c r="N14" s="41"/>
      <c r="O14" s="41"/>
      <c r="P14" s="41"/>
      <c r="Q14" s="41"/>
      <c r="R14" s="41"/>
      <c r="S14" s="41"/>
      <c r="T14" s="41"/>
      <c r="U14" s="41"/>
      <c r="V14" s="41"/>
      <c r="W14" s="41"/>
      <c r="X14" s="41"/>
      <c r="Y14" s="41"/>
      <c r="Z14" s="41"/>
    </row>
    <row r="15" customFormat="false" ht="12.75" hidden="false" customHeight="true" outlineLevel="0" collapsed="false">
      <c r="A15" s="41"/>
      <c r="B15" s="69"/>
      <c r="C15" s="70"/>
      <c r="D15" s="73"/>
      <c r="E15" s="73"/>
      <c r="F15" s="72"/>
      <c r="G15" s="41"/>
      <c r="H15" s="41"/>
      <c r="I15" s="41"/>
      <c r="J15" s="41"/>
      <c r="K15" s="41"/>
      <c r="L15" s="41"/>
      <c r="M15" s="41"/>
      <c r="N15" s="41"/>
      <c r="O15" s="41"/>
      <c r="P15" s="41"/>
      <c r="Q15" s="41"/>
      <c r="R15" s="41"/>
      <c r="S15" s="41"/>
      <c r="T15" s="41"/>
      <c r="U15" s="41"/>
      <c r="V15" s="41"/>
      <c r="W15" s="41"/>
      <c r="X15" s="41"/>
      <c r="Y15" s="41"/>
      <c r="Z15" s="41"/>
    </row>
    <row r="16" customFormat="false" ht="12.75" hidden="false" customHeight="true" outlineLevel="0" collapsed="false">
      <c r="A16" s="41"/>
      <c r="B16" s="69"/>
      <c r="C16" s="70"/>
      <c r="D16" s="73"/>
      <c r="E16" s="73"/>
      <c r="F16" s="72"/>
      <c r="G16" s="41"/>
      <c r="H16" s="41"/>
      <c r="I16" s="41"/>
      <c r="J16" s="41"/>
      <c r="K16" s="41"/>
      <c r="L16" s="41"/>
      <c r="M16" s="41"/>
      <c r="N16" s="41"/>
      <c r="O16" s="41"/>
      <c r="P16" s="41"/>
      <c r="Q16" s="41"/>
      <c r="R16" s="41"/>
      <c r="S16" s="41"/>
      <c r="T16" s="41"/>
      <c r="U16" s="41"/>
      <c r="V16" s="41"/>
      <c r="W16" s="41"/>
      <c r="X16" s="41"/>
      <c r="Y16" s="41"/>
      <c r="Z16" s="41"/>
    </row>
    <row r="17" customFormat="false" ht="12.75" hidden="false" customHeight="true" outlineLevel="0" collapsed="false">
      <c r="A17" s="41"/>
      <c r="B17" s="69"/>
      <c r="C17" s="70"/>
      <c r="D17" s="73"/>
      <c r="E17" s="73"/>
      <c r="F17" s="72"/>
      <c r="G17" s="41"/>
      <c r="H17" s="41"/>
      <c r="I17" s="41"/>
      <c r="J17" s="41"/>
      <c r="K17" s="41"/>
      <c r="L17" s="41"/>
      <c r="M17" s="41"/>
      <c r="N17" s="41"/>
      <c r="O17" s="41"/>
      <c r="P17" s="41"/>
      <c r="Q17" s="41"/>
      <c r="R17" s="41"/>
      <c r="S17" s="41"/>
      <c r="T17" s="41"/>
      <c r="U17" s="41"/>
      <c r="V17" s="41"/>
      <c r="W17" s="41"/>
      <c r="X17" s="41"/>
      <c r="Y17" s="41"/>
      <c r="Z17" s="41"/>
    </row>
    <row r="18" customFormat="false" ht="12.75" hidden="false" customHeight="true" outlineLevel="0" collapsed="false">
      <c r="A18" s="41"/>
      <c r="B18" s="69"/>
      <c r="C18" s="70"/>
      <c r="D18" s="73"/>
      <c r="E18" s="73"/>
      <c r="F18" s="72"/>
      <c r="G18" s="41"/>
      <c r="H18" s="41"/>
      <c r="I18" s="41"/>
      <c r="J18" s="41"/>
      <c r="K18" s="41"/>
      <c r="L18" s="41"/>
      <c r="M18" s="41"/>
      <c r="N18" s="41"/>
      <c r="O18" s="41"/>
      <c r="P18" s="41"/>
      <c r="Q18" s="41"/>
      <c r="R18" s="41"/>
      <c r="S18" s="41"/>
      <c r="T18" s="41"/>
      <c r="U18" s="41"/>
      <c r="V18" s="41"/>
      <c r="W18" s="41"/>
      <c r="X18" s="41"/>
      <c r="Y18" s="41"/>
      <c r="Z18" s="41"/>
    </row>
    <row r="19" customFormat="false" ht="12.75" hidden="false" customHeight="true" outlineLevel="0" collapsed="false">
      <c r="A19" s="41"/>
      <c r="B19" s="69"/>
      <c r="C19" s="70"/>
      <c r="D19" s="73"/>
      <c r="E19" s="73"/>
      <c r="F19" s="72"/>
      <c r="G19" s="41"/>
      <c r="H19" s="41"/>
      <c r="I19" s="41"/>
      <c r="J19" s="41"/>
      <c r="K19" s="41"/>
      <c r="L19" s="41"/>
      <c r="M19" s="41"/>
      <c r="N19" s="41"/>
      <c r="O19" s="41"/>
      <c r="P19" s="41"/>
      <c r="Q19" s="41"/>
      <c r="R19" s="41"/>
      <c r="S19" s="41"/>
      <c r="T19" s="41"/>
      <c r="U19" s="41"/>
      <c r="V19" s="41"/>
      <c r="W19" s="41"/>
      <c r="X19" s="41"/>
      <c r="Y19" s="41"/>
      <c r="Z19" s="41"/>
    </row>
    <row r="20" customFormat="false" ht="12.75" hidden="false" customHeight="true" outlineLevel="0" collapsed="false">
      <c r="A20" s="41"/>
      <c r="B20" s="69"/>
      <c r="C20" s="70"/>
      <c r="D20" s="73"/>
      <c r="E20" s="73"/>
      <c r="F20" s="72"/>
      <c r="G20" s="41"/>
      <c r="H20" s="41"/>
      <c r="I20" s="41"/>
      <c r="J20" s="41"/>
      <c r="K20" s="41"/>
      <c r="L20" s="41"/>
      <c r="M20" s="41"/>
      <c r="N20" s="41"/>
      <c r="O20" s="41"/>
      <c r="P20" s="41"/>
      <c r="Q20" s="41"/>
      <c r="R20" s="41"/>
      <c r="S20" s="41"/>
      <c r="T20" s="41"/>
      <c r="U20" s="41"/>
      <c r="V20" s="41"/>
      <c r="W20" s="41"/>
      <c r="X20" s="41"/>
      <c r="Y20" s="41"/>
      <c r="Z20" s="41"/>
    </row>
    <row r="21" customFormat="false" ht="12.75" hidden="false" customHeight="true" outlineLevel="0" collapsed="false">
      <c r="A21" s="41"/>
      <c r="B21" s="74"/>
      <c r="C21" s="75"/>
      <c r="D21" s="76"/>
      <c r="E21" s="76"/>
      <c r="F21" s="77"/>
      <c r="G21" s="41"/>
      <c r="H21" s="41"/>
      <c r="I21" s="41"/>
      <c r="J21" s="41"/>
      <c r="K21" s="41"/>
      <c r="L21" s="41"/>
      <c r="M21" s="41"/>
      <c r="N21" s="41"/>
      <c r="O21" s="41"/>
      <c r="P21" s="41"/>
      <c r="Q21" s="41"/>
      <c r="R21" s="41"/>
      <c r="S21" s="41"/>
      <c r="T21" s="41"/>
      <c r="U21" s="41"/>
      <c r="V21" s="41"/>
      <c r="W21" s="41"/>
      <c r="X21" s="41"/>
      <c r="Y21" s="41"/>
      <c r="Z21" s="41"/>
    </row>
    <row r="22" customFormat="false" ht="12.75" hidden="false" customHeight="true" outlineLevel="0" collapsed="false">
      <c r="A22" s="41"/>
      <c r="B22" s="78"/>
      <c r="C22" s="79"/>
      <c r="D22" s="79"/>
      <c r="E22" s="79"/>
      <c r="F22" s="79"/>
      <c r="G22" s="41"/>
      <c r="H22" s="41"/>
      <c r="I22" s="41"/>
      <c r="J22" s="41"/>
      <c r="K22" s="41"/>
      <c r="L22" s="41"/>
      <c r="M22" s="41"/>
      <c r="N22" s="41"/>
      <c r="O22" s="41"/>
      <c r="P22" s="41"/>
      <c r="Q22" s="41"/>
      <c r="R22" s="41"/>
      <c r="S22" s="41"/>
      <c r="T22" s="41"/>
      <c r="U22" s="41"/>
      <c r="V22" s="41"/>
      <c r="W22" s="41"/>
      <c r="X22" s="41"/>
      <c r="Y22" s="41"/>
      <c r="Z22" s="41"/>
    </row>
    <row r="23" customFormat="false" ht="12.75" hidden="false" customHeight="true" outlineLevel="0" collapsed="false">
      <c r="A23" s="41"/>
      <c r="B23" s="78"/>
      <c r="C23" s="79"/>
      <c r="D23" s="79"/>
      <c r="E23" s="79"/>
      <c r="F23" s="79"/>
      <c r="G23" s="41"/>
      <c r="H23" s="41"/>
      <c r="I23" s="41"/>
      <c r="J23" s="41"/>
      <c r="K23" s="41"/>
      <c r="L23" s="41"/>
      <c r="M23" s="41"/>
      <c r="N23" s="41"/>
      <c r="O23" s="41"/>
      <c r="P23" s="41"/>
      <c r="Q23" s="41"/>
      <c r="R23" s="41"/>
      <c r="S23" s="41"/>
      <c r="T23" s="41"/>
      <c r="U23" s="41"/>
      <c r="V23" s="41"/>
      <c r="W23" s="41"/>
      <c r="X23" s="41"/>
      <c r="Y23" s="41"/>
      <c r="Z23" s="41"/>
    </row>
    <row r="24" customFormat="false" ht="12.75" hidden="false" customHeight="true" outlineLevel="0" collapsed="false">
      <c r="A24" s="41"/>
      <c r="B24" s="78"/>
      <c r="C24" s="79"/>
      <c r="D24" s="79"/>
      <c r="E24" s="79"/>
      <c r="F24" s="79"/>
      <c r="G24" s="41"/>
      <c r="H24" s="41"/>
      <c r="I24" s="41"/>
      <c r="J24" s="41"/>
      <c r="K24" s="41"/>
      <c r="L24" s="41"/>
      <c r="M24" s="41"/>
      <c r="N24" s="41"/>
      <c r="O24" s="41"/>
      <c r="P24" s="41"/>
      <c r="Q24" s="41"/>
      <c r="R24" s="41"/>
      <c r="S24" s="41"/>
      <c r="T24" s="41"/>
      <c r="U24" s="41"/>
      <c r="V24" s="41"/>
      <c r="W24" s="41"/>
      <c r="X24" s="41"/>
      <c r="Y24" s="41"/>
      <c r="Z24" s="41"/>
    </row>
    <row r="25" customFormat="false" ht="12.75" hidden="false" customHeight="true" outlineLevel="0" collapsed="false">
      <c r="A25" s="41"/>
      <c r="B25" s="78"/>
      <c r="C25" s="79"/>
      <c r="D25" s="79"/>
      <c r="E25" s="79"/>
      <c r="F25" s="79"/>
      <c r="G25" s="41"/>
      <c r="H25" s="41"/>
      <c r="I25" s="41"/>
      <c r="J25" s="41"/>
      <c r="K25" s="41"/>
      <c r="L25" s="41"/>
      <c r="M25" s="41"/>
      <c r="N25" s="41"/>
      <c r="O25" s="41"/>
      <c r="P25" s="41"/>
      <c r="Q25" s="41"/>
      <c r="R25" s="41"/>
      <c r="S25" s="41"/>
      <c r="T25" s="41"/>
      <c r="U25" s="41"/>
      <c r="V25" s="41"/>
      <c r="W25" s="41"/>
      <c r="X25" s="41"/>
      <c r="Y25" s="41"/>
      <c r="Z25" s="41"/>
    </row>
    <row r="26" customFormat="false" ht="12.75" hidden="false" customHeight="true" outlineLevel="0" collapsed="false">
      <c r="A26" s="41"/>
      <c r="B26" s="78"/>
      <c r="C26" s="79"/>
      <c r="D26" s="79"/>
      <c r="E26" s="79"/>
      <c r="F26" s="79"/>
      <c r="G26" s="41"/>
      <c r="H26" s="41"/>
      <c r="I26" s="41"/>
      <c r="J26" s="41"/>
      <c r="K26" s="41"/>
      <c r="L26" s="41"/>
      <c r="M26" s="41"/>
      <c r="N26" s="41"/>
      <c r="O26" s="41"/>
      <c r="P26" s="41"/>
      <c r="Q26" s="41"/>
      <c r="R26" s="41"/>
      <c r="S26" s="41"/>
      <c r="T26" s="41"/>
      <c r="U26" s="41"/>
      <c r="V26" s="41"/>
      <c r="W26" s="41"/>
      <c r="X26" s="41"/>
      <c r="Y26" s="41"/>
      <c r="Z26" s="41"/>
    </row>
    <row r="27" customFormat="false" ht="12.75" hidden="false" customHeight="true" outlineLevel="0" collapsed="false">
      <c r="A27" s="41"/>
      <c r="B27" s="78"/>
      <c r="C27" s="79"/>
      <c r="D27" s="79"/>
      <c r="E27" s="79"/>
      <c r="F27" s="79"/>
      <c r="G27" s="41"/>
      <c r="H27" s="41"/>
      <c r="I27" s="41"/>
      <c r="J27" s="41"/>
      <c r="K27" s="41"/>
      <c r="L27" s="41"/>
      <c r="M27" s="41"/>
      <c r="N27" s="41"/>
      <c r="O27" s="41"/>
      <c r="P27" s="41"/>
      <c r="Q27" s="41"/>
      <c r="R27" s="41"/>
      <c r="S27" s="41"/>
      <c r="T27" s="41"/>
      <c r="U27" s="41"/>
      <c r="V27" s="41"/>
      <c r="W27" s="41"/>
      <c r="X27" s="41"/>
      <c r="Y27" s="41"/>
      <c r="Z27" s="41"/>
    </row>
    <row r="28" customFormat="false" ht="12.75" hidden="false" customHeight="true" outlineLevel="0" collapsed="false">
      <c r="A28" s="41"/>
      <c r="B28" s="78"/>
      <c r="C28" s="79"/>
      <c r="D28" s="79"/>
      <c r="E28" s="79"/>
      <c r="F28" s="79"/>
      <c r="G28" s="41"/>
      <c r="H28" s="41"/>
      <c r="I28" s="41"/>
      <c r="J28" s="41"/>
      <c r="K28" s="41"/>
      <c r="L28" s="41"/>
      <c r="M28" s="41"/>
      <c r="N28" s="41"/>
      <c r="O28" s="41"/>
      <c r="P28" s="41"/>
      <c r="Q28" s="41"/>
      <c r="R28" s="41"/>
      <c r="S28" s="41"/>
      <c r="T28" s="41"/>
      <c r="U28" s="41"/>
      <c r="V28" s="41"/>
      <c r="W28" s="41"/>
      <c r="X28" s="41"/>
      <c r="Y28" s="41"/>
      <c r="Z28" s="41"/>
    </row>
    <row r="29" customFormat="false" ht="12.75" hidden="false" customHeight="true" outlineLevel="0" collapsed="false">
      <c r="A29" s="41"/>
      <c r="B29" s="78"/>
      <c r="C29" s="79"/>
      <c r="D29" s="79"/>
      <c r="E29" s="79"/>
      <c r="F29" s="79"/>
      <c r="G29" s="41"/>
      <c r="H29" s="41"/>
      <c r="I29" s="41"/>
      <c r="J29" s="41"/>
      <c r="K29" s="41"/>
      <c r="L29" s="41"/>
      <c r="M29" s="41"/>
      <c r="N29" s="41"/>
      <c r="O29" s="41"/>
      <c r="P29" s="41"/>
      <c r="Q29" s="41"/>
      <c r="R29" s="41"/>
      <c r="S29" s="41"/>
      <c r="T29" s="41"/>
      <c r="U29" s="41"/>
      <c r="V29" s="41"/>
      <c r="W29" s="41"/>
      <c r="X29" s="41"/>
      <c r="Y29" s="41"/>
      <c r="Z29" s="41"/>
    </row>
    <row r="30" customFormat="false" ht="12.75" hidden="false" customHeight="true" outlineLevel="0" collapsed="false">
      <c r="A30" s="41"/>
      <c r="B30" s="78"/>
      <c r="C30" s="79"/>
      <c r="D30" s="79"/>
      <c r="E30" s="79"/>
      <c r="F30" s="79"/>
      <c r="G30" s="41"/>
      <c r="H30" s="41"/>
      <c r="I30" s="41"/>
      <c r="J30" s="41"/>
      <c r="K30" s="41"/>
      <c r="L30" s="41"/>
      <c r="M30" s="41"/>
      <c r="N30" s="41"/>
      <c r="O30" s="41"/>
      <c r="P30" s="41"/>
      <c r="Q30" s="41"/>
      <c r="R30" s="41"/>
      <c r="S30" s="41"/>
      <c r="T30" s="41"/>
      <c r="U30" s="41"/>
      <c r="V30" s="41"/>
      <c r="W30" s="41"/>
      <c r="X30" s="41"/>
      <c r="Y30" s="41"/>
      <c r="Z30" s="41"/>
    </row>
    <row r="31" customFormat="false" ht="12.75" hidden="false" customHeight="true" outlineLevel="0" collapsed="false">
      <c r="A31" s="41"/>
      <c r="B31" s="78"/>
      <c r="C31" s="79"/>
      <c r="D31" s="79"/>
      <c r="E31" s="79"/>
      <c r="F31" s="79"/>
      <c r="G31" s="41"/>
      <c r="H31" s="41"/>
      <c r="I31" s="41"/>
      <c r="J31" s="41"/>
      <c r="K31" s="41"/>
      <c r="L31" s="41"/>
      <c r="M31" s="41"/>
      <c r="N31" s="41"/>
      <c r="O31" s="41"/>
      <c r="P31" s="41"/>
      <c r="Q31" s="41"/>
      <c r="R31" s="41"/>
      <c r="S31" s="41"/>
      <c r="T31" s="41"/>
      <c r="U31" s="41"/>
      <c r="V31" s="41"/>
      <c r="W31" s="41"/>
      <c r="X31" s="41"/>
      <c r="Y31" s="41"/>
      <c r="Z31" s="41"/>
    </row>
    <row r="32" customFormat="false" ht="12.75" hidden="false" customHeight="true" outlineLevel="0" collapsed="false">
      <c r="A32" s="41"/>
      <c r="B32" s="78"/>
      <c r="C32" s="79"/>
      <c r="D32" s="79"/>
      <c r="E32" s="79"/>
      <c r="F32" s="79"/>
      <c r="G32" s="41"/>
      <c r="H32" s="41"/>
      <c r="I32" s="41"/>
      <c r="J32" s="41"/>
      <c r="K32" s="41"/>
      <c r="L32" s="41"/>
      <c r="M32" s="41"/>
      <c r="N32" s="41"/>
      <c r="O32" s="41"/>
      <c r="P32" s="41"/>
      <c r="Q32" s="41"/>
      <c r="R32" s="41"/>
      <c r="S32" s="41"/>
      <c r="T32" s="41"/>
      <c r="U32" s="41"/>
      <c r="V32" s="41"/>
      <c r="W32" s="41"/>
      <c r="X32" s="41"/>
      <c r="Y32" s="41"/>
      <c r="Z32" s="41"/>
    </row>
    <row r="33" customFormat="false" ht="12.75" hidden="false" customHeight="true" outlineLevel="0" collapsed="false">
      <c r="A33" s="41"/>
      <c r="B33" s="78"/>
      <c r="C33" s="79"/>
      <c r="D33" s="79"/>
      <c r="E33" s="79"/>
      <c r="F33" s="79"/>
      <c r="G33" s="41"/>
      <c r="H33" s="41"/>
      <c r="I33" s="41"/>
      <c r="J33" s="41"/>
      <c r="K33" s="41"/>
      <c r="L33" s="41"/>
      <c r="M33" s="41"/>
      <c r="N33" s="41"/>
      <c r="O33" s="41"/>
      <c r="P33" s="41"/>
      <c r="Q33" s="41"/>
      <c r="R33" s="41"/>
      <c r="S33" s="41"/>
      <c r="T33" s="41"/>
      <c r="U33" s="41"/>
      <c r="V33" s="41"/>
      <c r="W33" s="41"/>
      <c r="X33" s="41"/>
      <c r="Y33" s="41"/>
      <c r="Z33" s="41"/>
    </row>
    <row r="34" customFormat="false" ht="12.75" hidden="false" customHeight="true" outlineLevel="0" collapsed="false">
      <c r="A34" s="41"/>
      <c r="B34" s="78"/>
      <c r="C34" s="79"/>
      <c r="D34" s="79"/>
      <c r="E34" s="79"/>
      <c r="F34" s="79"/>
      <c r="G34" s="41"/>
      <c r="H34" s="41"/>
      <c r="I34" s="41"/>
      <c r="J34" s="41"/>
      <c r="K34" s="41"/>
      <c r="L34" s="41"/>
      <c r="M34" s="41"/>
      <c r="N34" s="41"/>
      <c r="O34" s="41"/>
      <c r="P34" s="41"/>
      <c r="Q34" s="41"/>
      <c r="R34" s="41"/>
      <c r="S34" s="41"/>
      <c r="T34" s="41"/>
      <c r="U34" s="41"/>
      <c r="V34" s="41"/>
      <c r="W34" s="41"/>
      <c r="X34" s="41"/>
      <c r="Y34" s="41"/>
      <c r="Z34" s="41"/>
    </row>
    <row r="35" customFormat="false" ht="12.75" hidden="false" customHeight="true" outlineLevel="0" collapsed="false">
      <c r="A35" s="41"/>
      <c r="B35" s="78"/>
      <c r="C35" s="79"/>
      <c r="D35" s="79"/>
      <c r="E35" s="79"/>
      <c r="F35" s="79"/>
      <c r="G35" s="41"/>
      <c r="H35" s="41"/>
      <c r="I35" s="41"/>
      <c r="J35" s="41"/>
      <c r="K35" s="41"/>
      <c r="L35" s="41"/>
      <c r="M35" s="41"/>
      <c r="N35" s="41"/>
      <c r="O35" s="41"/>
      <c r="P35" s="41"/>
      <c r="Q35" s="41"/>
      <c r="R35" s="41"/>
      <c r="S35" s="41"/>
      <c r="T35" s="41"/>
      <c r="U35" s="41"/>
      <c r="V35" s="41"/>
      <c r="W35" s="41"/>
      <c r="X35" s="41"/>
      <c r="Y35" s="41"/>
      <c r="Z35" s="41"/>
    </row>
    <row r="36" customFormat="false" ht="12.75" hidden="false" customHeight="true" outlineLevel="0" collapsed="false">
      <c r="A36" s="41"/>
      <c r="B36" s="78"/>
      <c r="C36" s="79"/>
      <c r="D36" s="79"/>
      <c r="E36" s="79"/>
      <c r="F36" s="79"/>
      <c r="G36" s="41"/>
      <c r="H36" s="41"/>
      <c r="I36" s="41"/>
      <c r="J36" s="41"/>
      <c r="K36" s="41"/>
      <c r="L36" s="41"/>
      <c r="M36" s="41"/>
      <c r="N36" s="41"/>
      <c r="O36" s="41"/>
      <c r="P36" s="41"/>
      <c r="Q36" s="41"/>
      <c r="R36" s="41"/>
      <c r="S36" s="41"/>
      <c r="T36" s="41"/>
      <c r="U36" s="41"/>
      <c r="V36" s="41"/>
      <c r="W36" s="41"/>
      <c r="X36" s="41"/>
      <c r="Y36" s="41"/>
      <c r="Z36" s="41"/>
    </row>
    <row r="37" customFormat="false" ht="12.75" hidden="false" customHeight="true" outlineLevel="0" collapsed="false">
      <c r="A37" s="41"/>
      <c r="B37" s="78"/>
      <c r="C37" s="79"/>
      <c r="D37" s="79"/>
      <c r="E37" s="79"/>
      <c r="F37" s="79"/>
      <c r="G37" s="41"/>
      <c r="H37" s="41"/>
      <c r="I37" s="41"/>
      <c r="J37" s="41"/>
      <c r="K37" s="41"/>
      <c r="L37" s="41"/>
      <c r="M37" s="41"/>
      <c r="N37" s="41"/>
      <c r="O37" s="41"/>
      <c r="P37" s="41"/>
      <c r="Q37" s="41"/>
      <c r="R37" s="41"/>
      <c r="S37" s="41"/>
      <c r="T37" s="41"/>
      <c r="U37" s="41"/>
      <c r="V37" s="41"/>
      <c r="W37" s="41"/>
      <c r="X37" s="41"/>
      <c r="Y37" s="41"/>
      <c r="Z37" s="41"/>
    </row>
    <row r="38" customFormat="false" ht="12.75" hidden="false" customHeight="true" outlineLevel="0" collapsed="false">
      <c r="A38" s="41"/>
      <c r="B38" s="78"/>
      <c r="C38" s="79"/>
      <c r="D38" s="79"/>
      <c r="E38" s="79"/>
      <c r="F38" s="79"/>
      <c r="G38" s="41"/>
      <c r="H38" s="41"/>
      <c r="I38" s="41"/>
      <c r="J38" s="41"/>
      <c r="K38" s="41"/>
      <c r="L38" s="41"/>
      <c r="M38" s="41"/>
      <c r="N38" s="41"/>
      <c r="O38" s="41"/>
      <c r="P38" s="41"/>
      <c r="Q38" s="41"/>
      <c r="R38" s="41"/>
      <c r="S38" s="41"/>
      <c r="T38" s="41"/>
      <c r="U38" s="41"/>
      <c r="V38" s="41"/>
      <c r="W38" s="41"/>
      <c r="X38" s="41"/>
      <c r="Y38" s="41"/>
      <c r="Z38" s="41"/>
    </row>
    <row r="39" customFormat="false" ht="12.75" hidden="false" customHeight="true" outlineLevel="0" collapsed="false">
      <c r="A39" s="41"/>
      <c r="B39" s="78"/>
      <c r="C39" s="79"/>
      <c r="D39" s="79"/>
      <c r="E39" s="79"/>
      <c r="F39" s="79"/>
      <c r="G39" s="41"/>
      <c r="H39" s="41"/>
      <c r="I39" s="41"/>
      <c r="J39" s="41"/>
      <c r="K39" s="41"/>
      <c r="L39" s="41"/>
      <c r="M39" s="41"/>
      <c r="N39" s="41"/>
      <c r="O39" s="41"/>
      <c r="P39" s="41"/>
      <c r="Q39" s="41"/>
      <c r="R39" s="41"/>
      <c r="S39" s="41"/>
      <c r="T39" s="41"/>
      <c r="U39" s="41"/>
      <c r="V39" s="41"/>
      <c r="W39" s="41"/>
      <c r="X39" s="41"/>
      <c r="Y39" s="41"/>
      <c r="Z39" s="41"/>
    </row>
    <row r="40" customFormat="false" ht="12.75" hidden="false" customHeight="true" outlineLevel="0" collapsed="false">
      <c r="A40" s="41"/>
      <c r="B40" s="78"/>
      <c r="C40" s="79"/>
      <c r="D40" s="79"/>
      <c r="E40" s="79"/>
      <c r="F40" s="79"/>
      <c r="G40" s="41"/>
      <c r="H40" s="41"/>
      <c r="I40" s="41"/>
      <c r="J40" s="41"/>
      <c r="K40" s="41"/>
      <c r="L40" s="41"/>
      <c r="M40" s="41"/>
      <c r="N40" s="41"/>
      <c r="O40" s="41"/>
      <c r="P40" s="41"/>
      <c r="Q40" s="41"/>
      <c r="R40" s="41"/>
      <c r="S40" s="41"/>
      <c r="T40" s="41"/>
      <c r="U40" s="41"/>
      <c r="V40" s="41"/>
      <c r="W40" s="41"/>
      <c r="X40" s="41"/>
      <c r="Y40" s="41"/>
      <c r="Z40" s="41"/>
    </row>
  </sheetData>
  <mergeCells count="6">
    <mergeCell ref="B3:C3"/>
    <mergeCell ref="D3:F3"/>
    <mergeCell ref="B4:C4"/>
    <mergeCell ref="D4:F4"/>
    <mergeCell ref="B5:C5"/>
    <mergeCell ref="D5:F5"/>
  </mergeCells>
  <hyperlinks>
    <hyperlink ref="D9" r:id="rId1" location="'F10_Vacancy'!A1" display="F10_Vacancy"/>
    <hyperlink ref="D10" r:id="rId2" location="'F11_Candidate'!A1" display="F11_Candidate"/>
    <hyperlink ref="D11" r:id="rId3" location="'F12_Status'!A1" display="F12_Sta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6328125" defaultRowHeight="15.75" zeroHeight="false" outlineLevelRow="0" outlineLevelCol="0"/>
  <cols>
    <col collapsed="false" customWidth="true" hidden="false" outlineLevel="0" max="2" min="1" style="1" width="36"/>
    <col collapsed="false" customWidth="true" hidden="false" outlineLevel="0" max="3" min="3" style="1" width="30"/>
    <col collapsed="false" customWidth="true" hidden="false" outlineLevel="0" max="4" min="4" style="1" width="62"/>
    <col collapsed="false" customWidth="true" hidden="false" outlineLevel="0" max="5" min="5" style="1" width="13"/>
    <col collapsed="false" customWidth="true" hidden="false" outlineLevel="0" max="6" min="6" style="1" width="34"/>
  </cols>
  <sheetData>
    <row r="1" customFormat="false" ht="19.5" hidden="false" customHeight="true" outlineLevel="0" collapsed="false">
      <c r="A1" s="80" t="s">
        <v>41</v>
      </c>
      <c r="B1" s="80" t="s">
        <v>42</v>
      </c>
      <c r="C1" s="80" t="s">
        <v>43</v>
      </c>
      <c r="D1" s="80" t="s">
        <v>44</v>
      </c>
      <c r="E1" s="80" t="s">
        <v>45</v>
      </c>
      <c r="F1" s="80" t="s">
        <v>46</v>
      </c>
    </row>
    <row r="2" customFormat="false" ht="21.75" hidden="false" customHeight="true" outlineLevel="0" collapsed="false">
      <c r="A2" s="81" t="s">
        <v>47</v>
      </c>
      <c r="B2" s="82" t="s">
        <v>48</v>
      </c>
      <c r="C2" s="83" t="s">
        <v>49</v>
      </c>
      <c r="D2" s="84" t="s">
        <v>50</v>
      </c>
      <c r="E2" s="85" t="s">
        <v>51</v>
      </c>
      <c r="F2" s="84"/>
    </row>
    <row r="3" customFormat="false" ht="21.75" hidden="false" customHeight="true" outlineLevel="0" collapsed="false">
      <c r="A3" s="81"/>
      <c r="B3" s="81"/>
      <c r="C3" s="83"/>
      <c r="D3" s="84" t="s">
        <v>52</v>
      </c>
      <c r="E3" s="85" t="s">
        <v>51</v>
      </c>
      <c r="F3" s="84"/>
    </row>
    <row r="4" customFormat="false" ht="21.75" hidden="false" customHeight="true" outlineLevel="0" collapsed="false">
      <c r="A4" s="81"/>
      <c r="B4" s="81"/>
      <c r="C4" s="83" t="s">
        <v>53</v>
      </c>
      <c r="D4" s="84" t="s">
        <v>54</v>
      </c>
      <c r="E4" s="85" t="s">
        <v>55</v>
      </c>
      <c r="F4" s="84"/>
    </row>
    <row r="5" customFormat="false" ht="21.75" hidden="false" customHeight="true" outlineLevel="0" collapsed="false">
      <c r="A5" s="81"/>
      <c r="B5" s="82"/>
      <c r="C5" s="82"/>
      <c r="D5" s="84" t="s">
        <v>56</v>
      </c>
      <c r="E5" s="85" t="s">
        <v>55</v>
      </c>
      <c r="F5" s="84"/>
    </row>
    <row r="6" customFormat="false" ht="21.75" hidden="false" customHeight="true" outlineLevel="0" collapsed="false">
      <c r="A6" s="81"/>
      <c r="B6" s="82" t="s">
        <v>57</v>
      </c>
      <c r="C6" s="83" t="s">
        <v>58</v>
      </c>
      <c r="D6" s="84" t="s">
        <v>59</v>
      </c>
      <c r="E6" s="85" t="s">
        <v>51</v>
      </c>
      <c r="F6" s="84"/>
    </row>
    <row r="7" customFormat="false" ht="34.5" hidden="false" customHeight="true" outlineLevel="0" collapsed="false">
      <c r="A7" s="81"/>
      <c r="B7" s="81"/>
      <c r="C7" s="81"/>
      <c r="D7" s="84" t="s">
        <v>60</v>
      </c>
      <c r="E7" s="85" t="s">
        <v>51</v>
      </c>
      <c r="F7" s="84" t="s">
        <v>61</v>
      </c>
    </row>
    <row r="8" customFormat="false" ht="21.75" hidden="false" customHeight="true" outlineLevel="0" collapsed="false">
      <c r="A8" s="81"/>
      <c r="B8" s="81"/>
      <c r="C8" s="81"/>
      <c r="D8" s="84" t="s">
        <v>62</v>
      </c>
      <c r="E8" s="85" t="s">
        <v>51</v>
      </c>
      <c r="F8" s="84" t="s">
        <v>63</v>
      </c>
    </row>
    <row r="9" customFormat="false" ht="21.75" hidden="false" customHeight="true" outlineLevel="0" collapsed="false">
      <c r="A9" s="81"/>
      <c r="B9" s="81"/>
      <c r="C9" s="83"/>
      <c r="D9" s="84" t="s">
        <v>64</v>
      </c>
      <c r="E9" s="85" t="s">
        <v>51</v>
      </c>
      <c r="F9" s="84"/>
    </row>
    <row r="10" customFormat="false" ht="21.75" hidden="false" customHeight="true" outlineLevel="0" collapsed="false">
      <c r="A10" s="81"/>
      <c r="B10" s="81"/>
      <c r="C10" s="83" t="s">
        <v>65</v>
      </c>
      <c r="D10" s="84" t="s">
        <v>66</v>
      </c>
      <c r="E10" s="85" t="s">
        <v>51</v>
      </c>
      <c r="F10" s="84" t="s">
        <v>67</v>
      </c>
    </row>
    <row r="11" customFormat="false" ht="21.75" hidden="false" customHeight="true" outlineLevel="0" collapsed="false">
      <c r="A11" s="81"/>
      <c r="B11" s="81"/>
      <c r="C11" s="81"/>
      <c r="D11" s="84" t="s">
        <v>68</v>
      </c>
      <c r="E11" s="85" t="s">
        <v>51</v>
      </c>
      <c r="F11" s="84" t="s">
        <v>67</v>
      </c>
    </row>
    <row r="12" customFormat="false" ht="21.75" hidden="false" customHeight="true" outlineLevel="0" collapsed="false">
      <c r="A12" s="81"/>
      <c r="B12" s="81"/>
      <c r="C12" s="81"/>
      <c r="D12" s="84" t="s">
        <v>69</v>
      </c>
      <c r="E12" s="85" t="s">
        <v>51</v>
      </c>
      <c r="F12" s="84" t="s">
        <v>67</v>
      </c>
    </row>
    <row r="13" customFormat="false" ht="21.75" hidden="false" customHeight="true" outlineLevel="0" collapsed="false">
      <c r="A13" s="81"/>
      <c r="B13" s="81"/>
      <c r="C13" s="81"/>
      <c r="D13" s="84" t="s">
        <v>70</v>
      </c>
      <c r="E13" s="85" t="s">
        <v>51</v>
      </c>
      <c r="F13" s="84" t="s">
        <v>67</v>
      </c>
    </row>
    <row r="14" customFormat="false" ht="21.75" hidden="false" customHeight="true" outlineLevel="0" collapsed="false">
      <c r="A14" s="81"/>
      <c r="B14" s="81"/>
      <c r="C14" s="81"/>
      <c r="D14" s="84" t="s">
        <v>71</v>
      </c>
      <c r="E14" s="85" t="s">
        <v>51</v>
      </c>
      <c r="F14" s="84" t="s">
        <v>67</v>
      </c>
    </row>
    <row r="15" customFormat="false" ht="21.75" hidden="false" customHeight="true" outlineLevel="0" collapsed="false">
      <c r="A15" s="81"/>
      <c r="B15" s="81"/>
      <c r="C15" s="81"/>
      <c r="D15" s="84" t="s">
        <v>72</v>
      </c>
      <c r="E15" s="85" t="s">
        <v>51</v>
      </c>
      <c r="F15" s="84" t="s">
        <v>73</v>
      </c>
    </row>
    <row r="16" customFormat="false" ht="21.75" hidden="false" customHeight="true" outlineLevel="0" collapsed="false">
      <c r="A16" s="81"/>
      <c r="B16" s="81"/>
      <c r="C16" s="81"/>
      <c r="D16" s="84" t="s">
        <v>74</v>
      </c>
      <c r="E16" s="85" t="s">
        <v>51</v>
      </c>
      <c r="F16" s="84" t="s">
        <v>67</v>
      </c>
    </row>
    <row r="17" customFormat="false" ht="21.75" hidden="false" customHeight="true" outlineLevel="0" collapsed="false">
      <c r="A17" s="81"/>
      <c r="B17" s="81"/>
      <c r="C17" s="81"/>
      <c r="D17" s="84" t="s">
        <v>75</v>
      </c>
      <c r="E17" s="85" t="s">
        <v>51</v>
      </c>
      <c r="F17" s="84" t="s">
        <v>76</v>
      </c>
    </row>
    <row r="18" customFormat="false" ht="21.75" hidden="false" customHeight="true" outlineLevel="0" collapsed="false">
      <c r="A18" s="81"/>
      <c r="B18" s="81"/>
      <c r="C18" s="81"/>
      <c r="D18" s="84" t="s">
        <v>77</v>
      </c>
      <c r="E18" s="85" t="s">
        <v>51</v>
      </c>
      <c r="F18" s="84"/>
    </row>
    <row r="19" customFormat="false" ht="21.75" hidden="false" customHeight="true" outlineLevel="0" collapsed="false">
      <c r="A19" s="81"/>
      <c r="B19" s="82"/>
      <c r="C19" s="82"/>
      <c r="D19" s="84" t="s">
        <v>78</v>
      </c>
      <c r="E19" s="85" t="s">
        <v>51</v>
      </c>
      <c r="F19" s="84" t="s">
        <v>79</v>
      </c>
    </row>
    <row r="20" customFormat="false" ht="21.75" hidden="false" customHeight="true" outlineLevel="0" collapsed="false">
      <c r="A20" s="81"/>
      <c r="B20" s="82" t="s">
        <v>80</v>
      </c>
      <c r="C20" s="83" t="s">
        <v>81</v>
      </c>
      <c r="D20" s="84" t="s">
        <v>82</v>
      </c>
      <c r="E20" s="85" t="s">
        <v>51</v>
      </c>
      <c r="F20" s="84"/>
    </row>
    <row r="21" customFormat="false" ht="21.75" hidden="false" customHeight="true" outlineLevel="0" collapsed="false">
      <c r="A21" s="81"/>
      <c r="B21" s="81"/>
      <c r="C21" s="81"/>
      <c r="D21" s="84" t="s">
        <v>83</v>
      </c>
      <c r="E21" s="85" t="s">
        <v>51</v>
      </c>
      <c r="F21" s="84"/>
    </row>
    <row r="22" customFormat="false" ht="21.75" hidden="false" customHeight="true" outlineLevel="0" collapsed="false">
      <c r="A22" s="81"/>
      <c r="B22" s="81"/>
      <c r="C22" s="81"/>
      <c r="D22" s="84" t="s">
        <v>84</v>
      </c>
      <c r="E22" s="85" t="s">
        <v>51</v>
      </c>
      <c r="F22" s="84"/>
    </row>
    <row r="23" customFormat="false" ht="21.75" hidden="false" customHeight="true" outlineLevel="0" collapsed="false">
      <c r="A23" s="81"/>
      <c r="B23" s="81"/>
      <c r="C23" s="83"/>
      <c r="D23" s="84" t="s">
        <v>85</v>
      </c>
      <c r="E23" s="85" t="s">
        <v>51</v>
      </c>
      <c r="F23" s="84"/>
    </row>
    <row r="24" customFormat="false" ht="21.75" hidden="false" customHeight="true" outlineLevel="0" collapsed="false">
      <c r="A24" s="81"/>
      <c r="B24" s="81"/>
      <c r="C24" s="83" t="s">
        <v>86</v>
      </c>
      <c r="D24" s="84" t="s">
        <v>87</v>
      </c>
      <c r="E24" s="85" t="s">
        <v>51</v>
      </c>
      <c r="F24" s="84"/>
    </row>
    <row r="25" customFormat="false" ht="21.75" hidden="false" customHeight="true" outlineLevel="0" collapsed="false">
      <c r="A25" s="81"/>
      <c r="B25" s="81"/>
      <c r="C25" s="81"/>
      <c r="D25" s="84" t="s">
        <v>88</v>
      </c>
      <c r="E25" s="85" t="s">
        <v>51</v>
      </c>
      <c r="F25" s="84"/>
    </row>
    <row r="26" customFormat="false" ht="21.75" hidden="false" customHeight="true" outlineLevel="0" collapsed="false">
      <c r="A26" s="81"/>
      <c r="B26" s="82"/>
      <c r="C26" s="82"/>
      <c r="D26" s="84" t="s">
        <v>89</v>
      </c>
      <c r="E26" s="85" t="s">
        <v>51</v>
      </c>
      <c r="F26" s="84" t="s">
        <v>67</v>
      </c>
    </row>
    <row r="27" customFormat="false" ht="21.75" hidden="false" customHeight="true" outlineLevel="0" collapsed="false">
      <c r="A27" s="81"/>
      <c r="B27" s="82" t="s">
        <v>90</v>
      </c>
      <c r="C27" s="83" t="s">
        <v>91</v>
      </c>
      <c r="D27" s="84" t="s">
        <v>92</v>
      </c>
      <c r="E27" s="85" t="s">
        <v>51</v>
      </c>
      <c r="F27" s="84"/>
    </row>
    <row r="28" customFormat="false" ht="21.75" hidden="false" customHeight="true" outlineLevel="0" collapsed="false">
      <c r="A28" s="81"/>
      <c r="B28" s="81"/>
      <c r="C28" s="83"/>
      <c r="D28" s="84" t="s">
        <v>93</v>
      </c>
      <c r="E28" s="85" t="s">
        <v>51</v>
      </c>
      <c r="F28" s="84"/>
    </row>
    <row r="29" customFormat="false" ht="21.75" hidden="false" customHeight="true" outlineLevel="0" collapsed="false">
      <c r="A29" s="81"/>
      <c r="B29" s="81"/>
      <c r="C29" s="83" t="s">
        <v>94</v>
      </c>
      <c r="D29" s="84" t="s">
        <v>95</v>
      </c>
      <c r="E29" s="85" t="s">
        <v>51</v>
      </c>
      <c r="F29" s="84" t="s">
        <v>67</v>
      </c>
    </row>
    <row r="30" customFormat="false" ht="21.75" hidden="false" customHeight="true" outlineLevel="0" collapsed="false">
      <c r="A30" s="81"/>
      <c r="B30" s="81"/>
      <c r="C30" s="81"/>
      <c r="D30" s="84" t="s">
        <v>96</v>
      </c>
      <c r="E30" s="85" t="s">
        <v>51</v>
      </c>
      <c r="F30" s="84" t="s">
        <v>67</v>
      </c>
    </row>
    <row r="31" customFormat="false" ht="21.75" hidden="false" customHeight="true" outlineLevel="0" collapsed="false">
      <c r="A31" s="81"/>
      <c r="B31" s="82"/>
      <c r="C31" s="82"/>
      <c r="D31" s="84" t="s">
        <v>97</v>
      </c>
      <c r="E31" s="85" t="s">
        <v>51</v>
      </c>
      <c r="F31" s="84"/>
    </row>
    <row r="32" customFormat="false" ht="21.75" hidden="false" customHeight="true" outlineLevel="0" collapsed="false">
      <c r="A32" s="81"/>
      <c r="B32" s="82" t="s">
        <v>98</v>
      </c>
      <c r="C32" s="83" t="s">
        <v>99</v>
      </c>
      <c r="D32" s="84" t="s">
        <v>100</v>
      </c>
      <c r="E32" s="85" t="s">
        <v>51</v>
      </c>
      <c r="F32" s="84"/>
    </row>
    <row r="33" customFormat="false" ht="21.75" hidden="false" customHeight="true" outlineLevel="0" collapsed="false">
      <c r="A33" s="81"/>
      <c r="B33" s="81"/>
      <c r="C33" s="81"/>
      <c r="D33" s="84" t="s">
        <v>101</v>
      </c>
      <c r="E33" s="85" t="s">
        <v>51</v>
      </c>
      <c r="F33" s="84"/>
    </row>
    <row r="34" customFormat="false" ht="21.75" hidden="false" customHeight="true" outlineLevel="0" collapsed="false">
      <c r="A34" s="81"/>
      <c r="B34" s="81"/>
      <c r="C34" s="81"/>
      <c r="D34" s="84" t="s">
        <v>102</v>
      </c>
      <c r="E34" s="85" t="s">
        <v>51</v>
      </c>
      <c r="F34" s="84"/>
    </row>
    <row r="35" customFormat="false" ht="49.5" hidden="false" customHeight="true" outlineLevel="0" collapsed="false">
      <c r="A35" s="81"/>
      <c r="B35" s="81"/>
      <c r="C35" s="81"/>
      <c r="D35" s="84" t="s">
        <v>103</v>
      </c>
      <c r="E35" s="85" t="s">
        <v>51</v>
      </c>
      <c r="F35" s="84" t="s">
        <v>104</v>
      </c>
    </row>
    <row r="36" customFormat="false" ht="21.75" hidden="false" customHeight="true" outlineLevel="0" collapsed="false">
      <c r="A36" s="81" t="s">
        <v>105</v>
      </c>
      <c r="B36" s="82" t="s">
        <v>106</v>
      </c>
      <c r="C36" s="83" t="s">
        <v>107</v>
      </c>
      <c r="D36" s="84" t="s">
        <v>108</v>
      </c>
      <c r="E36" s="85" t="s">
        <v>55</v>
      </c>
      <c r="F36" s="84"/>
    </row>
    <row r="37" customFormat="false" ht="21.75" hidden="false" customHeight="true" outlineLevel="0" collapsed="false">
      <c r="A37" s="81"/>
      <c r="B37" s="81"/>
      <c r="C37" s="81"/>
      <c r="D37" s="84" t="s">
        <v>109</v>
      </c>
      <c r="E37" s="85" t="s">
        <v>55</v>
      </c>
      <c r="F37" s="84"/>
    </row>
    <row r="38" customFormat="false" ht="21.75" hidden="false" customHeight="true" outlineLevel="0" collapsed="false">
      <c r="A38" s="81"/>
      <c r="B38" s="82"/>
      <c r="C38" s="82"/>
      <c r="D38" s="84" t="s">
        <v>110</v>
      </c>
      <c r="E38" s="85" t="s">
        <v>55</v>
      </c>
      <c r="F38" s="84"/>
    </row>
    <row r="39" customFormat="false" ht="21.75" hidden="false" customHeight="true" outlineLevel="0" collapsed="false">
      <c r="A39" s="81"/>
      <c r="B39" s="82" t="s">
        <v>111</v>
      </c>
      <c r="C39" s="83" t="s">
        <v>58</v>
      </c>
      <c r="D39" s="84" t="s">
        <v>112</v>
      </c>
      <c r="E39" s="85" t="s">
        <v>51</v>
      </c>
      <c r="F39" s="84"/>
    </row>
    <row r="40" customFormat="false" ht="34.5" hidden="false" customHeight="true" outlineLevel="0" collapsed="false">
      <c r="A40" s="81"/>
      <c r="B40" s="81"/>
      <c r="C40" s="81"/>
      <c r="D40" s="84" t="s">
        <v>113</v>
      </c>
      <c r="E40" s="85" t="s">
        <v>51</v>
      </c>
      <c r="F40" s="84" t="s">
        <v>114</v>
      </c>
    </row>
    <row r="41" customFormat="false" ht="21.75" hidden="false" customHeight="true" outlineLevel="0" collapsed="false">
      <c r="A41" s="81"/>
      <c r="B41" s="81"/>
      <c r="C41" s="81"/>
      <c r="D41" s="84" t="s">
        <v>115</v>
      </c>
      <c r="E41" s="85" t="s">
        <v>51</v>
      </c>
      <c r="F41" s="84"/>
    </row>
    <row r="42" customFormat="false" ht="34.5" hidden="false" customHeight="true" outlineLevel="0" collapsed="false">
      <c r="A42" s="81"/>
      <c r="B42" s="81"/>
      <c r="C42" s="81"/>
      <c r="D42" s="84" t="s">
        <v>116</v>
      </c>
      <c r="E42" s="85" t="s">
        <v>51</v>
      </c>
      <c r="F42" s="84" t="s">
        <v>117</v>
      </c>
    </row>
    <row r="43" customFormat="false" ht="21.75" hidden="false" customHeight="true" outlineLevel="0" collapsed="false">
      <c r="A43" s="81"/>
      <c r="B43" s="81"/>
      <c r="C43" s="81"/>
      <c r="D43" s="84" t="s">
        <v>118</v>
      </c>
      <c r="E43" s="85" t="s">
        <v>51</v>
      </c>
      <c r="F43" s="84" t="s">
        <v>119</v>
      </c>
    </row>
    <row r="44" customFormat="false" ht="21.75" hidden="false" customHeight="true" outlineLevel="0" collapsed="false">
      <c r="A44" s="81"/>
      <c r="B44" s="81"/>
      <c r="C44" s="83"/>
      <c r="D44" s="84" t="s">
        <v>120</v>
      </c>
      <c r="E44" s="85" t="s">
        <v>51</v>
      </c>
      <c r="F44" s="84"/>
    </row>
    <row r="45" customFormat="false" ht="21.75" hidden="false" customHeight="true" outlineLevel="0" collapsed="false">
      <c r="A45" s="81"/>
      <c r="B45" s="81"/>
      <c r="C45" s="83" t="s">
        <v>65</v>
      </c>
      <c r="D45" s="84" t="s">
        <v>121</v>
      </c>
      <c r="E45" s="85" t="s">
        <v>51</v>
      </c>
      <c r="F45" s="84" t="s">
        <v>67</v>
      </c>
    </row>
    <row r="46" customFormat="false" ht="21.75" hidden="false" customHeight="true" outlineLevel="0" collapsed="false">
      <c r="A46" s="81"/>
      <c r="B46" s="81"/>
      <c r="C46" s="81"/>
      <c r="D46" s="84" t="s">
        <v>122</v>
      </c>
      <c r="E46" s="85" t="s">
        <v>51</v>
      </c>
      <c r="F46" s="84" t="s">
        <v>67</v>
      </c>
    </row>
    <row r="47" customFormat="false" ht="21.75" hidden="false" customHeight="true" outlineLevel="0" collapsed="false">
      <c r="A47" s="81"/>
      <c r="B47" s="81"/>
      <c r="C47" s="81"/>
      <c r="D47" s="84" t="s">
        <v>123</v>
      </c>
      <c r="E47" s="85" t="s">
        <v>51</v>
      </c>
      <c r="F47" s="84" t="s">
        <v>67</v>
      </c>
    </row>
    <row r="48" customFormat="false" ht="21.75" hidden="false" customHeight="true" outlineLevel="0" collapsed="false">
      <c r="A48" s="81"/>
      <c r="B48" s="81"/>
      <c r="C48" s="81"/>
      <c r="D48" s="84" t="s">
        <v>124</v>
      </c>
      <c r="E48" s="85" t="s">
        <v>51</v>
      </c>
      <c r="F48" s="84" t="s">
        <v>67</v>
      </c>
    </row>
    <row r="49" customFormat="false" ht="21.75" hidden="false" customHeight="true" outlineLevel="0" collapsed="false">
      <c r="A49" s="81"/>
      <c r="B49" s="81"/>
      <c r="C49" s="81"/>
      <c r="D49" s="84" t="s">
        <v>125</v>
      </c>
      <c r="E49" s="85" t="s">
        <v>51</v>
      </c>
      <c r="F49" s="84" t="s">
        <v>67</v>
      </c>
    </row>
    <row r="50" customFormat="false" ht="21.75" hidden="false" customHeight="true" outlineLevel="0" collapsed="false">
      <c r="A50" s="81"/>
      <c r="B50" s="81"/>
      <c r="C50" s="81"/>
      <c r="D50" s="84" t="s">
        <v>126</v>
      </c>
      <c r="E50" s="85" t="s">
        <v>51</v>
      </c>
      <c r="F50" s="84" t="s">
        <v>127</v>
      </c>
    </row>
    <row r="51" customFormat="false" ht="21.75" hidden="false" customHeight="true" outlineLevel="0" collapsed="false">
      <c r="A51" s="81"/>
      <c r="B51" s="81"/>
      <c r="C51" s="81"/>
      <c r="D51" s="84" t="s">
        <v>128</v>
      </c>
      <c r="E51" s="85" t="s">
        <v>51</v>
      </c>
      <c r="F51" s="84" t="s">
        <v>67</v>
      </c>
    </row>
    <row r="52" customFormat="false" ht="21.75" hidden="false" customHeight="true" outlineLevel="0" collapsed="false">
      <c r="A52" s="81"/>
      <c r="B52" s="81"/>
      <c r="C52" s="81"/>
      <c r="D52" s="84" t="s">
        <v>129</v>
      </c>
      <c r="E52" s="85" t="s">
        <v>51</v>
      </c>
      <c r="F52" s="84" t="s">
        <v>130</v>
      </c>
    </row>
    <row r="53" customFormat="false" ht="21.75" hidden="false" customHeight="true" outlineLevel="0" collapsed="false">
      <c r="A53" s="81"/>
      <c r="B53" s="81"/>
      <c r="C53" s="81"/>
      <c r="D53" s="84" t="s">
        <v>131</v>
      </c>
      <c r="E53" s="85" t="s">
        <v>51</v>
      </c>
      <c r="F53" s="84" t="s">
        <v>67</v>
      </c>
    </row>
    <row r="54" customFormat="false" ht="21.75" hidden="false" customHeight="true" outlineLevel="0" collapsed="false">
      <c r="A54" s="81"/>
      <c r="B54" s="81"/>
      <c r="C54" s="81"/>
      <c r="D54" s="84" t="s">
        <v>132</v>
      </c>
      <c r="E54" s="85" t="s">
        <v>51</v>
      </c>
      <c r="F54" s="84" t="s">
        <v>76</v>
      </c>
    </row>
    <row r="55" customFormat="false" ht="21.75" hidden="false" customHeight="true" outlineLevel="0" collapsed="false">
      <c r="A55" s="81"/>
      <c r="B55" s="81"/>
      <c r="C55" s="81"/>
      <c r="D55" s="84" t="s">
        <v>133</v>
      </c>
      <c r="E55" s="85" t="s">
        <v>51</v>
      </c>
      <c r="F55" s="84"/>
    </row>
    <row r="56" customFormat="false" ht="21.75" hidden="false" customHeight="true" outlineLevel="0" collapsed="false">
      <c r="A56" s="81"/>
      <c r="B56" s="82"/>
      <c r="C56" s="82"/>
      <c r="D56" s="84" t="s">
        <v>78</v>
      </c>
      <c r="E56" s="85" t="s">
        <v>51</v>
      </c>
      <c r="F56" s="84" t="s">
        <v>79</v>
      </c>
    </row>
    <row r="57" customFormat="false" ht="21.75" hidden="false" customHeight="true" outlineLevel="0" collapsed="false">
      <c r="A57" s="81"/>
      <c r="B57" s="82" t="s">
        <v>134</v>
      </c>
      <c r="C57" s="83" t="s">
        <v>135</v>
      </c>
      <c r="D57" s="84" t="s">
        <v>136</v>
      </c>
      <c r="E57" s="85" t="s">
        <v>51</v>
      </c>
      <c r="F57" s="84"/>
    </row>
    <row r="58" customFormat="false" ht="21.75" hidden="false" customHeight="true" outlineLevel="0" collapsed="false">
      <c r="A58" s="81"/>
      <c r="B58" s="81"/>
      <c r="C58" s="81"/>
      <c r="D58" s="84" t="s">
        <v>137</v>
      </c>
      <c r="E58" s="85" t="s">
        <v>51</v>
      </c>
      <c r="F58" s="84" t="s">
        <v>67</v>
      </c>
    </row>
    <row r="59" customFormat="false" ht="21.75" hidden="false" customHeight="true" outlineLevel="0" collapsed="false">
      <c r="A59" s="81"/>
      <c r="B59" s="81"/>
      <c r="C59" s="81"/>
      <c r="D59" s="84" t="s">
        <v>82</v>
      </c>
      <c r="E59" s="85" t="s">
        <v>51</v>
      </c>
      <c r="F59" s="84"/>
    </row>
    <row r="60" customFormat="false" ht="21.75" hidden="false" customHeight="true" outlineLevel="0" collapsed="false">
      <c r="A60" s="81"/>
      <c r="B60" s="81"/>
      <c r="C60" s="81"/>
      <c r="D60" s="84" t="s">
        <v>83</v>
      </c>
      <c r="E60" s="85" t="s">
        <v>51</v>
      </c>
      <c r="F60" s="84"/>
    </row>
    <row r="61" customFormat="false" ht="21.75" hidden="false" customHeight="true" outlineLevel="0" collapsed="false">
      <c r="A61" s="81"/>
      <c r="B61" s="81"/>
      <c r="C61" s="81"/>
      <c r="D61" s="84" t="s">
        <v>84</v>
      </c>
      <c r="E61" s="85" t="s">
        <v>51</v>
      </c>
      <c r="F61" s="84"/>
    </row>
    <row r="62" customFormat="false" ht="21.75" hidden="false" customHeight="true" outlineLevel="0" collapsed="false">
      <c r="A62" s="81"/>
      <c r="B62" s="81"/>
      <c r="C62" s="81"/>
      <c r="D62" s="84" t="s">
        <v>138</v>
      </c>
      <c r="E62" s="85" t="s">
        <v>51</v>
      </c>
      <c r="F62" s="84"/>
    </row>
    <row r="63" customFormat="false" ht="21.75" hidden="false" customHeight="true" outlineLevel="0" collapsed="false">
      <c r="A63" s="81"/>
      <c r="B63" s="81"/>
      <c r="C63" s="81"/>
      <c r="D63" s="84" t="s">
        <v>139</v>
      </c>
      <c r="E63" s="85" t="s">
        <v>51</v>
      </c>
      <c r="F63" s="84"/>
    </row>
    <row r="64" customFormat="false" ht="21.75" hidden="false" customHeight="true" outlineLevel="0" collapsed="false">
      <c r="A64" s="81"/>
      <c r="B64" s="81"/>
      <c r="C64" s="81"/>
      <c r="D64" s="84" t="s">
        <v>140</v>
      </c>
      <c r="E64" s="85" t="s">
        <v>51</v>
      </c>
      <c r="F64" s="84"/>
    </row>
    <row r="65" customFormat="false" ht="21.75" hidden="false" customHeight="true" outlineLevel="0" collapsed="false">
      <c r="A65" s="81"/>
      <c r="B65" s="81"/>
      <c r="C65" s="81"/>
      <c r="D65" s="84" t="s">
        <v>141</v>
      </c>
      <c r="E65" s="85" t="s">
        <v>51</v>
      </c>
      <c r="F65" s="84" t="s">
        <v>67</v>
      </c>
    </row>
    <row r="66" customFormat="false" ht="21.75" hidden="false" customHeight="true" outlineLevel="0" collapsed="false">
      <c r="A66" s="81"/>
      <c r="B66" s="81"/>
      <c r="C66" s="83"/>
      <c r="D66" s="84" t="s">
        <v>142</v>
      </c>
      <c r="E66" s="85" t="s">
        <v>51</v>
      </c>
      <c r="F66" s="84"/>
    </row>
    <row r="67" customFormat="false" ht="21.75" hidden="false" customHeight="true" outlineLevel="0" collapsed="false">
      <c r="A67" s="81"/>
      <c r="B67" s="81"/>
      <c r="C67" s="83" t="s">
        <v>86</v>
      </c>
      <c r="D67" s="84" t="s">
        <v>143</v>
      </c>
      <c r="E67" s="85" t="s">
        <v>51</v>
      </c>
      <c r="F67" s="84"/>
    </row>
    <row r="68" customFormat="false" ht="21.75" hidden="false" customHeight="true" outlineLevel="0" collapsed="false">
      <c r="A68" s="81"/>
      <c r="B68" s="81"/>
      <c r="C68" s="81"/>
      <c r="D68" s="84" t="s">
        <v>88</v>
      </c>
      <c r="E68" s="85" t="s">
        <v>51</v>
      </c>
      <c r="F68" s="84"/>
    </row>
    <row r="69" customFormat="false" ht="21.75" hidden="false" customHeight="true" outlineLevel="0" collapsed="false">
      <c r="A69" s="81"/>
      <c r="B69" s="82"/>
      <c r="C69" s="82"/>
      <c r="D69" s="84" t="s">
        <v>144</v>
      </c>
      <c r="E69" s="85" t="s">
        <v>51</v>
      </c>
      <c r="F69" s="84" t="s">
        <v>67</v>
      </c>
    </row>
    <row r="70" customFormat="false" ht="21.75" hidden="false" customHeight="true" outlineLevel="0" collapsed="false">
      <c r="A70" s="81"/>
      <c r="B70" s="82" t="s">
        <v>145</v>
      </c>
      <c r="C70" s="83" t="s">
        <v>146</v>
      </c>
      <c r="D70" s="84" t="s">
        <v>147</v>
      </c>
      <c r="E70" s="85" t="s">
        <v>51</v>
      </c>
      <c r="F70" s="84"/>
    </row>
    <row r="71" customFormat="false" ht="21.75" hidden="false" customHeight="true" outlineLevel="0" collapsed="false">
      <c r="A71" s="81"/>
      <c r="B71" s="81"/>
      <c r="C71" s="81"/>
      <c r="D71" s="84" t="s">
        <v>148</v>
      </c>
      <c r="E71" s="85" t="s">
        <v>51</v>
      </c>
      <c r="F71" s="84"/>
    </row>
    <row r="72" customFormat="false" ht="34.5" hidden="false" customHeight="true" outlineLevel="0" collapsed="false">
      <c r="A72" s="81" t="s">
        <v>149</v>
      </c>
      <c r="B72" s="82" t="s">
        <v>150</v>
      </c>
      <c r="C72" s="83" t="s">
        <v>151</v>
      </c>
      <c r="D72" s="84" t="s">
        <v>152</v>
      </c>
      <c r="E72" s="85" t="s">
        <v>55</v>
      </c>
      <c r="F72" s="84"/>
    </row>
    <row r="73" customFormat="false" ht="21.75" hidden="false" customHeight="true" outlineLevel="0" collapsed="false">
      <c r="A73" s="81"/>
      <c r="B73" s="82"/>
      <c r="C73" s="82"/>
      <c r="D73" s="84" t="s">
        <v>153</v>
      </c>
      <c r="E73" s="85" t="s">
        <v>55</v>
      </c>
      <c r="F73" s="84"/>
    </row>
    <row r="74" customFormat="false" ht="21.75" hidden="false" customHeight="true" outlineLevel="0" collapsed="false">
      <c r="A74" s="81"/>
      <c r="B74" s="82" t="s">
        <v>154</v>
      </c>
      <c r="C74" s="83" t="s">
        <v>155</v>
      </c>
      <c r="D74" s="84" t="s">
        <v>156</v>
      </c>
      <c r="E74" s="85" t="s">
        <v>51</v>
      </c>
      <c r="F74" s="84"/>
    </row>
    <row r="75" customFormat="false" ht="21.75" hidden="false" customHeight="true" outlineLevel="0" collapsed="false">
      <c r="A75" s="81"/>
      <c r="B75" s="81"/>
      <c r="C75" s="81"/>
      <c r="D75" s="84" t="s">
        <v>157</v>
      </c>
      <c r="E75" s="85" t="s">
        <v>51</v>
      </c>
      <c r="F75" s="84"/>
    </row>
    <row r="76" customFormat="false" ht="21.75" hidden="false" customHeight="true" outlineLevel="0" collapsed="false">
      <c r="A76" s="81"/>
      <c r="B76" s="81"/>
      <c r="C76" s="81"/>
      <c r="D76" s="84" t="s">
        <v>158</v>
      </c>
      <c r="E76" s="85" t="s">
        <v>51</v>
      </c>
      <c r="F76" s="84"/>
    </row>
    <row r="77" customFormat="false" ht="21.75" hidden="false" customHeight="true" outlineLevel="0" collapsed="false">
      <c r="A77" s="81"/>
      <c r="B77" s="81"/>
      <c r="C77" s="83"/>
      <c r="D77" s="84" t="s">
        <v>159</v>
      </c>
      <c r="E77" s="85" t="s">
        <v>51</v>
      </c>
      <c r="F77" s="84"/>
    </row>
    <row r="78" customFormat="false" ht="21.75" hidden="false" customHeight="true" outlineLevel="0" collapsed="false">
      <c r="A78" s="81"/>
      <c r="B78" s="81"/>
      <c r="C78" s="83" t="s">
        <v>160</v>
      </c>
      <c r="D78" s="84" t="s">
        <v>161</v>
      </c>
      <c r="E78" s="85" t="s">
        <v>51</v>
      </c>
      <c r="F78" s="84"/>
    </row>
    <row r="79" customFormat="false" ht="34.5" hidden="false" customHeight="true" outlineLevel="0" collapsed="false">
      <c r="A79" s="81"/>
      <c r="B79" s="81"/>
      <c r="C79" s="81"/>
      <c r="D79" s="84" t="s">
        <v>162</v>
      </c>
      <c r="E79" s="85" t="s">
        <v>51</v>
      </c>
      <c r="F79" s="84" t="s">
        <v>163</v>
      </c>
    </row>
    <row r="80" customFormat="false" ht="21.75" hidden="false" customHeight="true" outlineLevel="0" collapsed="false">
      <c r="A80" s="81"/>
      <c r="B80" s="81"/>
      <c r="C80" s="81"/>
      <c r="D80" s="84" t="s">
        <v>164</v>
      </c>
      <c r="E80" s="85" t="s">
        <v>51</v>
      </c>
      <c r="F80" s="84"/>
    </row>
    <row r="81" customFormat="false" ht="21.75" hidden="false" customHeight="true" outlineLevel="0" collapsed="false">
      <c r="A81" s="81"/>
      <c r="B81" s="81"/>
      <c r="C81" s="83"/>
      <c r="D81" s="84" t="s">
        <v>165</v>
      </c>
      <c r="E81" s="85" t="s">
        <v>51</v>
      </c>
      <c r="F81" s="84"/>
    </row>
    <row r="82" customFormat="false" ht="21.75" hidden="false" customHeight="true" outlineLevel="0" collapsed="false">
      <c r="A82" s="81"/>
      <c r="B82" s="81"/>
      <c r="C82" s="83" t="s">
        <v>166</v>
      </c>
      <c r="D82" s="84" t="s">
        <v>167</v>
      </c>
      <c r="E82" s="85" t="s">
        <v>51</v>
      </c>
      <c r="F82" s="84"/>
    </row>
    <row r="83" customFormat="false" ht="21.75" hidden="false" customHeight="true" outlineLevel="0" collapsed="false">
      <c r="A83" s="81"/>
      <c r="B83" s="81"/>
      <c r="C83" s="81"/>
      <c r="D83" s="84" t="s">
        <v>168</v>
      </c>
      <c r="E83" s="85" t="s">
        <v>51</v>
      </c>
      <c r="F83" s="84"/>
    </row>
    <row r="84" customFormat="false" ht="21.75" hidden="false" customHeight="true" outlineLevel="0" collapsed="false">
      <c r="A84" s="81"/>
      <c r="B84" s="81"/>
      <c r="C84" s="81"/>
      <c r="D84" s="84" t="s">
        <v>169</v>
      </c>
      <c r="E84" s="85" t="s">
        <v>51</v>
      </c>
      <c r="F84" s="84"/>
    </row>
    <row r="85" customFormat="false" ht="34.5" hidden="false" customHeight="true" outlineLevel="0" collapsed="false">
      <c r="A85" s="81"/>
      <c r="B85" s="82"/>
      <c r="C85" s="82"/>
      <c r="D85" s="84" t="s">
        <v>170</v>
      </c>
      <c r="E85" s="85" t="s">
        <v>51</v>
      </c>
      <c r="F85" s="84" t="s">
        <v>171</v>
      </c>
    </row>
    <row r="86" customFormat="false" ht="21.75" hidden="false" customHeight="true" outlineLevel="0" collapsed="false">
      <c r="A86" s="81"/>
      <c r="B86" s="82" t="s">
        <v>172</v>
      </c>
      <c r="C86" s="83" t="s">
        <v>173</v>
      </c>
      <c r="D86" s="84" t="s">
        <v>174</v>
      </c>
      <c r="E86" s="85" t="s">
        <v>51</v>
      </c>
      <c r="F86" s="84" t="s">
        <v>67</v>
      </c>
    </row>
    <row r="87" customFormat="false" ht="21.75" hidden="false" customHeight="true" outlineLevel="0" collapsed="false">
      <c r="A87" s="81"/>
      <c r="B87" s="81"/>
      <c r="C87" s="81"/>
      <c r="D87" s="84" t="s">
        <v>175</v>
      </c>
      <c r="E87" s="85" t="s">
        <v>51</v>
      </c>
      <c r="F87" s="84" t="s">
        <v>67</v>
      </c>
    </row>
    <row r="88" customFormat="false" ht="21.75" hidden="false" customHeight="true" outlineLevel="0" collapsed="false">
      <c r="A88" s="81"/>
      <c r="B88" s="81"/>
      <c r="C88" s="81"/>
      <c r="D88" s="84" t="s">
        <v>176</v>
      </c>
      <c r="E88" s="85" t="s">
        <v>51</v>
      </c>
      <c r="F88" s="84" t="s">
        <v>67</v>
      </c>
    </row>
    <row r="89" customFormat="false" ht="21.75" hidden="false" customHeight="true" outlineLevel="0" collapsed="false">
      <c r="A89" s="81"/>
      <c r="B89" s="81"/>
      <c r="C89" s="81"/>
      <c r="D89" s="84" t="s">
        <v>177</v>
      </c>
      <c r="E89" s="85" t="s">
        <v>51</v>
      </c>
      <c r="F89" s="84" t="s">
        <v>67</v>
      </c>
    </row>
    <row r="90" customFormat="false" ht="21.75" hidden="false" customHeight="true" outlineLevel="0" collapsed="false">
      <c r="A90" s="81"/>
      <c r="B90" s="81"/>
      <c r="C90" s="81"/>
      <c r="D90" s="84" t="s">
        <v>178</v>
      </c>
      <c r="E90" s="85" t="s">
        <v>51</v>
      </c>
      <c r="F90" s="84" t="s">
        <v>67</v>
      </c>
    </row>
    <row r="91" customFormat="false" ht="21.75" hidden="false" customHeight="true" outlineLevel="0" collapsed="false">
      <c r="A91" s="81"/>
      <c r="B91" s="81"/>
      <c r="C91" s="83"/>
      <c r="D91" s="84" t="s">
        <v>179</v>
      </c>
      <c r="E91" s="85" t="s">
        <v>51</v>
      </c>
      <c r="F91" s="84" t="s">
        <v>180</v>
      </c>
    </row>
    <row r="92" customFormat="false" ht="21.75" hidden="false" customHeight="true" outlineLevel="0" collapsed="false">
      <c r="A92" s="81"/>
      <c r="B92" s="81"/>
      <c r="C92" s="83" t="s">
        <v>181</v>
      </c>
      <c r="D92" s="84" t="s">
        <v>182</v>
      </c>
      <c r="E92" s="85" t="s">
        <v>51</v>
      </c>
      <c r="F92" s="84"/>
    </row>
    <row r="93" customFormat="false" ht="34.5" hidden="false" customHeight="true" outlineLevel="0" collapsed="false">
      <c r="A93" s="81"/>
      <c r="B93" s="81"/>
      <c r="C93" s="81"/>
      <c r="D93" s="84" t="s">
        <v>183</v>
      </c>
      <c r="E93" s="85" t="s">
        <v>51</v>
      </c>
      <c r="F93" s="84" t="s">
        <v>184</v>
      </c>
    </row>
    <row r="94" customFormat="false" ht="21.75" hidden="false" customHeight="true" outlineLevel="0" collapsed="false">
      <c r="A94" s="81"/>
      <c r="B94" s="81"/>
      <c r="C94" s="81"/>
      <c r="D94" s="84" t="s">
        <v>185</v>
      </c>
      <c r="E94" s="85" t="s">
        <v>51</v>
      </c>
      <c r="F94" s="84" t="s">
        <v>186</v>
      </c>
    </row>
    <row r="95" customFormat="false" ht="34.5" hidden="false" customHeight="true" outlineLevel="0" collapsed="false">
      <c r="A95" s="81"/>
      <c r="B95" s="81"/>
      <c r="C95" s="81"/>
      <c r="D95" s="84" t="s">
        <v>187</v>
      </c>
      <c r="E95" s="85" t="s">
        <v>51</v>
      </c>
      <c r="F95" s="84" t="s">
        <v>79</v>
      </c>
    </row>
    <row r="96" customFormat="false" ht="21.75" hidden="false" customHeight="true" outlineLevel="0" collapsed="false">
      <c r="A96" s="81"/>
      <c r="B96" s="82"/>
      <c r="C96" s="82"/>
      <c r="D96" s="84" t="s">
        <v>188</v>
      </c>
      <c r="E96" s="85" t="s">
        <v>51</v>
      </c>
      <c r="F96" s="84" t="s">
        <v>79</v>
      </c>
    </row>
    <row r="97" customFormat="false" ht="21.75" hidden="false" customHeight="true" outlineLevel="0" collapsed="false">
      <c r="A97" s="81"/>
      <c r="B97" s="82" t="s">
        <v>189</v>
      </c>
      <c r="C97" s="83" t="s">
        <v>190</v>
      </c>
      <c r="D97" s="84" t="s">
        <v>191</v>
      </c>
      <c r="E97" s="85" t="s">
        <v>51</v>
      </c>
      <c r="F97" s="84"/>
    </row>
    <row r="98" customFormat="false" ht="21.75" hidden="false" customHeight="true" outlineLevel="0" collapsed="false">
      <c r="A98" s="81"/>
      <c r="B98" s="81"/>
      <c r="C98" s="81"/>
      <c r="D98" s="84" t="s">
        <v>192</v>
      </c>
      <c r="E98" s="85" t="s">
        <v>51</v>
      </c>
      <c r="F98" s="84"/>
    </row>
    <row r="99" customFormat="false" ht="21.75" hidden="false" customHeight="true" outlineLevel="0" collapsed="false">
      <c r="A99" s="81"/>
      <c r="B99" s="81"/>
      <c r="C99" s="81"/>
      <c r="D99" s="84" t="s">
        <v>193</v>
      </c>
      <c r="E99" s="85" t="s">
        <v>51</v>
      </c>
      <c r="F99" s="84"/>
    </row>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sheetData>
  <mergeCells count="38">
    <mergeCell ref="A2:A35"/>
    <mergeCell ref="B2:B5"/>
    <mergeCell ref="C2:C3"/>
    <mergeCell ref="C4:C5"/>
    <mergeCell ref="B6:B19"/>
    <mergeCell ref="C6:C9"/>
    <mergeCell ref="C10:C19"/>
    <mergeCell ref="B20:B26"/>
    <mergeCell ref="C20:C23"/>
    <mergeCell ref="C24:C26"/>
    <mergeCell ref="B27:B31"/>
    <mergeCell ref="C27:C28"/>
    <mergeCell ref="C29:C31"/>
    <mergeCell ref="B32:B35"/>
    <mergeCell ref="C32:C35"/>
    <mergeCell ref="A36:A71"/>
    <mergeCell ref="B36:B38"/>
    <mergeCell ref="C36:C38"/>
    <mergeCell ref="B39:B56"/>
    <mergeCell ref="C39:C44"/>
    <mergeCell ref="C45:C56"/>
    <mergeCell ref="B57:B69"/>
    <mergeCell ref="C57:C66"/>
    <mergeCell ref="C67:C69"/>
    <mergeCell ref="B70:B71"/>
    <mergeCell ref="C70:C71"/>
    <mergeCell ref="A72:A99"/>
    <mergeCell ref="B72:B73"/>
    <mergeCell ref="C72:C73"/>
    <mergeCell ref="B74:B85"/>
    <mergeCell ref="C74:C77"/>
    <mergeCell ref="C78:C81"/>
    <mergeCell ref="C82:C85"/>
    <mergeCell ref="B86:B96"/>
    <mergeCell ref="C86:C91"/>
    <mergeCell ref="C92:C96"/>
    <mergeCell ref="B97:B99"/>
    <mergeCell ref="C97:C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15.63"/>
    <col collapsed="false" customWidth="true" hidden="false" outlineLevel="0" max="2" min="2" style="1" width="46.88"/>
    <col collapsed="false" customWidth="true" hidden="false" outlineLevel="0" max="4" min="3" style="1" width="41.25"/>
    <col collapsed="false" customWidth="true" hidden="false" outlineLevel="0" max="5" min="5" style="1" width="20.38"/>
    <col collapsed="false" customWidth="true" hidden="false" outlineLevel="0" max="7" min="6" style="1" width="13"/>
    <col collapsed="false" customWidth="true" hidden="false" outlineLevel="0" max="8" min="8" style="1" width="11"/>
    <col collapsed="false" customWidth="true" hidden="false" outlineLevel="0" max="9" min="9" style="1" width="28"/>
  </cols>
  <sheetData>
    <row r="1" customFormat="false" ht="15.75" hidden="false" customHeight="true" outlineLevel="0" collapsed="false">
      <c r="A1" s="86" t="s">
        <v>194</v>
      </c>
      <c r="B1" s="87"/>
      <c r="C1" s="87"/>
      <c r="D1" s="88"/>
      <c r="E1" s="89"/>
      <c r="F1" s="89"/>
      <c r="G1" s="90"/>
      <c r="H1" s="90"/>
      <c r="I1" s="88"/>
      <c r="J1" s="88"/>
      <c r="K1" s="89"/>
      <c r="L1" s="89"/>
      <c r="M1" s="89"/>
      <c r="N1" s="89"/>
      <c r="O1" s="89"/>
      <c r="P1" s="89"/>
      <c r="Q1" s="89"/>
      <c r="R1" s="89"/>
      <c r="S1" s="89"/>
      <c r="T1" s="89"/>
      <c r="U1" s="89"/>
      <c r="V1" s="89"/>
      <c r="W1" s="89"/>
      <c r="X1" s="89"/>
      <c r="Y1" s="89"/>
      <c r="Z1" s="89"/>
      <c r="AA1" s="88"/>
      <c r="AB1" s="88"/>
    </row>
    <row r="2" customFormat="false" ht="15.75" hidden="false" customHeight="true" outlineLevel="0" collapsed="false">
      <c r="A2" s="91" t="s">
        <v>195</v>
      </c>
      <c r="B2" s="92" t="s">
        <v>196</v>
      </c>
      <c r="C2" s="92"/>
      <c r="D2" s="92"/>
      <c r="E2" s="92"/>
      <c r="F2" s="92"/>
      <c r="G2" s="92"/>
      <c r="H2" s="93"/>
      <c r="I2" s="94" t="s">
        <v>197</v>
      </c>
      <c r="J2" s="95"/>
      <c r="K2" s="89"/>
      <c r="L2" s="89"/>
      <c r="M2" s="89"/>
      <c r="N2" s="89"/>
      <c r="O2" s="89"/>
      <c r="P2" s="89"/>
      <c r="Q2" s="89"/>
      <c r="R2" s="89"/>
      <c r="S2" s="89"/>
      <c r="T2" s="89"/>
      <c r="U2" s="89"/>
      <c r="V2" s="89"/>
      <c r="W2" s="89"/>
      <c r="X2" s="89"/>
      <c r="Y2" s="89"/>
      <c r="Z2" s="89"/>
      <c r="AA2" s="88"/>
      <c r="AB2" s="88"/>
    </row>
    <row r="3" customFormat="false" ht="15.75" hidden="false" customHeight="true" outlineLevel="0" collapsed="false">
      <c r="A3" s="91" t="s">
        <v>198</v>
      </c>
      <c r="B3" s="92" t="s">
        <v>199</v>
      </c>
      <c r="C3" s="92"/>
      <c r="D3" s="92"/>
      <c r="E3" s="92"/>
      <c r="F3" s="92"/>
      <c r="G3" s="92"/>
      <c r="H3" s="93"/>
      <c r="I3" s="94" t="s">
        <v>200</v>
      </c>
      <c r="J3" s="95"/>
      <c r="K3" s="89"/>
      <c r="L3" s="89"/>
      <c r="M3" s="89"/>
      <c r="N3" s="89"/>
      <c r="O3" s="89"/>
      <c r="P3" s="89"/>
      <c r="Q3" s="89"/>
      <c r="R3" s="89"/>
      <c r="S3" s="89"/>
      <c r="T3" s="89"/>
      <c r="U3" s="89"/>
      <c r="V3" s="89"/>
      <c r="W3" s="89"/>
      <c r="X3" s="89"/>
      <c r="Y3" s="89"/>
      <c r="Z3" s="89"/>
      <c r="AA3" s="88"/>
      <c r="AB3" s="88"/>
    </row>
    <row r="4" customFormat="false" ht="15.75" hidden="false" customHeight="true" outlineLevel="0" collapsed="false">
      <c r="A4" s="91" t="s">
        <v>201</v>
      </c>
      <c r="B4" s="96" t="s">
        <v>202</v>
      </c>
      <c r="C4" s="96"/>
      <c r="D4" s="96"/>
      <c r="E4" s="96"/>
      <c r="F4" s="96"/>
      <c r="G4" s="96"/>
      <c r="H4" s="93"/>
      <c r="I4" s="94" t="s">
        <v>203</v>
      </c>
      <c r="J4" s="95"/>
      <c r="K4" s="89"/>
      <c r="L4" s="89"/>
      <c r="M4" s="89"/>
      <c r="N4" s="89"/>
      <c r="O4" s="89"/>
      <c r="P4" s="89"/>
      <c r="Q4" s="89"/>
      <c r="R4" s="89"/>
      <c r="S4" s="89"/>
      <c r="T4" s="89"/>
      <c r="U4" s="89"/>
      <c r="V4" s="89"/>
      <c r="W4" s="89"/>
      <c r="X4" s="89"/>
      <c r="Y4" s="89"/>
      <c r="Z4" s="89"/>
      <c r="AA4" s="88"/>
      <c r="AB4" s="88"/>
    </row>
    <row r="5" customFormat="false" ht="15.75" hidden="false" customHeight="true" outlineLevel="0" collapsed="false">
      <c r="A5" s="91" t="s">
        <v>204</v>
      </c>
      <c r="B5" s="92" t="s">
        <v>4</v>
      </c>
      <c r="C5" s="92"/>
      <c r="D5" s="92"/>
      <c r="E5" s="92"/>
      <c r="F5" s="92"/>
      <c r="G5" s="92"/>
      <c r="H5" s="93"/>
      <c r="I5" s="94" t="s">
        <v>205</v>
      </c>
      <c r="J5" s="95"/>
      <c r="K5" s="89"/>
      <c r="L5" s="89"/>
      <c r="M5" s="89"/>
      <c r="N5" s="89"/>
      <c r="O5" s="89"/>
      <c r="P5" s="89"/>
      <c r="Q5" s="89"/>
      <c r="R5" s="89"/>
      <c r="S5" s="89"/>
      <c r="T5" s="89"/>
      <c r="U5" s="89"/>
      <c r="V5" s="89"/>
      <c r="W5" s="89"/>
      <c r="X5" s="89"/>
      <c r="Y5" s="89"/>
      <c r="Z5" s="89"/>
      <c r="AA5" s="88"/>
      <c r="AB5" s="88"/>
    </row>
    <row r="6" customFormat="false" ht="15.75" hidden="false" customHeight="true" outlineLevel="0" collapsed="false">
      <c r="A6" s="97" t="s">
        <v>197</v>
      </c>
      <c r="B6" s="97" t="s">
        <v>200</v>
      </c>
      <c r="C6" s="97" t="s">
        <v>203</v>
      </c>
      <c r="D6" s="97" t="s">
        <v>205</v>
      </c>
      <c r="E6" s="97" t="s">
        <v>206</v>
      </c>
      <c r="F6" s="97" t="s">
        <v>207</v>
      </c>
      <c r="G6" s="98"/>
      <c r="H6" s="93"/>
      <c r="I6" s="94" t="s">
        <v>206</v>
      </c>
      <c r="J6" s="95"/>
      <c r="K6" s="89"/>
      <c r="L6" s="89"/>
      <c r="M6" s="89"/>
      <c r="N6" s="89"/>
      <c r="O6" s="89"/>
      <c r="P6" s="89"/>
      <c r="Q6" s="89"/>
      <c r="R6" s="89"/>
      <c r="S6" s="89"/>
      <c r="T6" s="89"/>
      <c r="U6" s="89"/>
      <c r="V6" s="89"/>
      <c r="W6" s="89"/>
      <c r="X6" s="89"/>
      <c r="Y6" s="89"/>
      <c r="Z6" s="89"/>
      <c r="AA6" s="88"/>
      <c r="AB6" s="88"/>
    </row>
    <row r="7" customFormat="false" ht="15.75" hidden="false" customHeight="true" outlineLevel="0" collapsed="false">
      <c r="A7" s="99" t="n">
        <f aca="false">COUNTIF($F$12:$F$59,"Pass")</f>
        <v>0</v>
      </c>
      <c r="B7" s="99" t="n">
        <f aca="false">COUNTIF($F$12:$F$59,"Fail")</f>
        <v>1</v>
      </c>
      <c r="C7" s="99" t="n">
        <f aca="false">COUNTIF($F$12:$F$59,"Untested")</f>
        <v>33</v>
      </c>
      <c r="D7" s="99" t="n">
        <f aca="false">COUNTIF($F$12:$F$59,"Blocked")</f>
        <v>0</v>
      </c>
      <c r="E7" s="99" t="n">
        <f aca="false">COUNTIF($F$12:$F$59,"Skipped")</f>
        <v>0</v>
      </c>
      <c r="F7" s="99" t="n">
        <f aca="false">COUNTIF($A$12:$A$59,"T-F10-*")</f>
        <v>34</v>
      </c>
      <c r="G7" s="98"/>
      <c r="H7" s="93"/>
      <c r="I7" s="94" t="s">
        <v>208</v>
      </c>
      <c r="J7" s="95"/>
      <c r="K7" s="89"/>
      <c r="L7" s="89"/>
      <c r="M7" s="89"/>
      <c r="N7" s="89"/>
      <c r="O7" s="89"/>
      <c r="P7" s="89"/>
      <c r="Q7" s="89"/>
      <c r="R7" s="89"/>
      <c r="S7" s="89"/>
      <c r="T7" s="89"/>
      <c r="U7" s="89"/>
      <c r="V7" s="89"/>
      <c r="W7" s="89"/>
      <c r="X7" s="89"/>
      <c r="Y7" s="89"/>
      <c r="Z7" s="89"/>
      <c r="AA7" s="88"/>
      <c r="AB7" s="88"/>
    </row>
    <row r="8" customFormat="false" ht="15.75" hidden="false" customHeight="true" outlineLevel="0" collapsed="false">
      <c r="A8" s="100"/>
      <c r="B8" s="101"/>
      <c r="C8" s="101"/>
      <c r="D8" s="101"/>
      <c r="E8" s="101"/>
      <c r="F8" s="101"/>
      <c r="G8" s="102"/>
      <c r="H8" s="101"/>
      <c r="I8" s="101"/>
      <c r="J8" s="101"/>
      <c r="K8" s="101"/>
      <c r="L8" s="101"/>
      <c r="M8" s="101"/>
      <c r="N8" s="101"/>
      <c r="O8" s="101"/>
      <c r="P8" s="101"/>
      <c r="Q8" s="101"/>
      <c r="R8" s="101"/>
      <c r="S8" s="101"/>
      <c r="T8" s="101"/>
      <c r="U8" s="101"/>
      <c r="V8" s="101"/>
      <c r="W8" s="101"/>
      <c r="X8" s="101"/>
      <c r="Y8" s="101"/>
      <c r="Z8" s="103"/>
      <c r="AA8" s="103"/>
      <c r="AB8" s="103"/>
    </row>
    <row r="9" customFormat="false" ht="15.75" hidden="false" customHeight="true" outlineLevel="0" collapsed="false">
      <c r="A9" s="104" t="s">
        <v>209</v>
      </c>
      <c r="B9" s="104" t="s">
        <v>210</v>
      </c>
      <c r="C9" s="104" t="s">
        <v>211</v>
      </c>
      <c r="D9" s="105" t="s">
        <v>212</v>
      </c>
      <c r="E9" s="104" t="s">
        <v>213</v>
      </c>
      <c r="F9" s="104" t="s">
        <v>214</v>
      </c>
      <c r="G9" s="106" t="s">
        <v>215</v>
      </c>
      <c r="H9" s="104" t="s">
        <v>216</v>
      </c>
      <c r="I9" s="104" t="s">
        <v>46</v>
      </c>
      <c r="J9" s="101"/>
      <c r="K9" s="101"/>
      <c r="L9" s="101"/>
      <c r="M9" s="101"/>
      <c r="N9" s="101"/>
      <c r="O9" s="101"/>
      <c r="P9" s="101"/>
      <c r="Q9" s="101"/>
      <c r="R9" s="101"/>
      <c r="S9" s="101"/>
      <c r="T9" s="101"/>
      <c r="U9" s="101"/>
      <c r="V9" s="101"/>
      <c r="W9" s="101"/>
      <c r="X9" s="101"/>
      <c r="Y9" s="101"/>
      <c r="Z9" s="107"/>
      <c r="AA9" s="107"/>
      <c r="AB9" s="107"/>
    </row>
    <row r="10" customFormat="false" ht="15.75" hidden="false" customHeight="true" outlineLevel="0" collapsed="false">
      <c r="A10" s="108" t="s">
        <v>217</v>
      </c>
      <c r="B10" s="108"/>
      <c r="C10" s="108"/>
      <c r="D10" s="108"/>
      <c r="E10" s="108"/>
      <c r="F10" s="108"/>
      <c r="G10" s="108"/>
      <c r="H10" s="108"/>
      <c r="I10" s="108"/>
      <c r="J10" s="101"/>
      <c r="K10" s="101"/>
      <c r="L10" s="101"/>
      <c r="M10" s="101"/>
      <c r="N10" s="101"/>
      <c r="O10" s="101"/>
      <c r="P10" s="101"/>
      <c r="Q10" s="101"/>
      <c r="R10" s="101"/>
      <c r="S10" s="101"/>
      <c r="T10" s="101"/>
      <c r="U10" s="101"/>
      <c r="V10" s="101"/>
      <c r="W10" s="101"/>
      <c r="X10" s="101"/>
      <c r="Y10" s="101"/>
      <c r="Z10" s="101"/>
      <c r="AA10" s="101"/>
      <c r="AB10" s="101"/>
    </row>
    <row r="11" customFormat="false" ht="15.75" hidden="false" customHeight="true" outlineLevel="0" collapsed="false">
      <c r="A11" s="109"/>
      <c r="B11" s="109"/>
      <c r="C11" s="109"/>
      <c r="D11" s="109"/>
      <c r="E11" s="109"/>
      <c r="F11" s="109"/>
      <c r="G11" s="109"/>
      <c r="H11" s="109"/>
      <c r="I11" s="109"/>
      <c r="J11" s="101"/>
      <c r="K11" s="101"/>
      <c r="L11" s="101"/>
      <c r="M11" s="101"/>
      <c r="N11" s="101"/>
      <c r="O11" s="101"/>
      <c r="P11" s="101"/>
      <c r="Q11" s="101"/>
      <c r="R11" s="101"/>
      <c r="S11" s="101"/>
      <c r="T11" s="101"/>
      <c r="U11" s="101"/>
      <c r="V11" s="101"/>
      <c r="W11" s="101"/>
      <c r="X11" s="101"/>
      <c r="Y11" s="101"/>
      <c r="Z11" s="101"/>
      <c r="AA11" s="101"/>
      <c r="AB11" s="101"/>
    </row>
    <row r="12" customFormat="false" ht="15.75" hidden="false" customHeight="true" outlineLevel="0" collapsed="false">
      <c r="A12" s="110"/>
      <c r="B12" s="111" t="s">
        <v>48</v>
      </c>
      <c r="C12" s="112"/>
      <c r="D12" s="113"/>
      <c r="E12" s="113"/>
      <c r="F12" s="113"/>
      <c r="G12" s="114"/>
      <c r="H12" s="113"/>
      <c r="I12" s="113"/>
    </row>
    <row r="13" customFormat="false" ht="15.75" hidden="false" customHeight="true" outlineLevel="0" collapsed="false">
      <c r="A13" s="110"/>
      <c r="B13" s="115" t="s">
        <v>49</v>
      </c>
      <c r="C13" s="116"/>
      <c r="D13" s="116"/>
      <c r="E13" s="116"/>
      <c r="F13" s="116"/>
      <c r="G13" s="117"/>
      <c r="H13" s="116"/>
      <c r="I13" s="116"/>
    </row>
    <row r="14" customFormat="false" ht="93" hidden="false" customHeight="true" outlineLevel="0" collapsed="false">
      <c r="A14" s="118" t="s">
        <v>218</v>
      </c>
      <c r="B14" s="118" t="s">
        <v>50</v>
      </c>
      <c r="C14" s="118" t="s">
        <v>219</v>
      </c>
      <c r="D14" s="118" t="s">
        <v>220</v>
      </c>
      <c r="E14" s="118"/>
      <c r="F14" s="119" t="s">
        <v>203</v>
      </c>
      <c r="G14" s="120" t="n">
        <v>46322</v>
      </c>
      <c r="H14" s="118" t="s">
        <v>221</v>
      </c>
      <c r="I14" s="121"/>
    </row>
    <row r="15" customFormat="false" ht="93" hidden="false" customHeight="true" outlineLevel="0" collapsed="false">
      <c r="A15" s="118" t="s">
        <v>222</v>
      </c>
      <c r="B15" s="118" t="s">
        <v>52</v>
      </c>
      <c r="C15" s="118" t="s">
        <v>223</v>
      </c>
      <c r="D15" s="118" t="s">
        <v>224</v>
      </c>
      <c r="E15" s="118" t="s">
        <v>218</v>
      </c>
      <c r="F15" s="119" t="s">
        <v>203</v>
      </c>
      <c r="G15" s="120" t="n">
        <v>46322</v>
      </c>
      <c r="H15" s="118" t="s">
        <v>221</v>
      </c>
      <c r="I15" s="121"/>
    </row>
    <row r="16" customFormat="false" ht="15.75" hidden="false" customHeight="true" outlineLevel="0" collapsed="false">
      <c r="A16" s="110"/>
      <c r="B16" s="115" t="s">
        <v>53</v>
      </c>
      <c r="C16" s="116"/>
      <c r="D16" s="116"/>
      <c r="E16" s="116"/>
      <c r="F16" s="116"/>
      <c r="G16" s="117"/>
      <c r="H16" s="116"/>
      <c r="I16" s="116"/>
    </row>
    <row r="17" customFormat="false" ht="107.25" hidden="false" customHeight="true" outlineLevel="0" collapsed="false">
      <c r="A17" s="118" t="s">
        <v>225</v>
      </c>
      <c r="B17" s="118" t="s">
        <v>54</v>
      </c>
      <c r="C17" s="118" t="s">
        <v>226</v>
      </c>
      <c r="D17" s="118" t="s">
        <v>227</v>
      </c>
      <c r="E17" s="118" t="s">
        <v>222</v>
      </c>
      <c r="F17" s="119" t="s">
        <v>203</v>
      </c>
      <c r="G17" s="120" t="n">
        <v>46322</v>
      </c>
      <c r="H17" s="118" t="s">
        <v>228</v>
      </c>
      <c r="I17" s="121"/>
    </row>
    <row r="18" customFormat="false" ht="107.25" hidden="false" customHeight="true" outlineLevel="0" collapsed="false">
      <c r="A18" s="118" t="s">
        <v>229</v>
      </c>
      <c r="B18" s="118" t="s">
        <v>56</v>
      </c>
      <c r="C18" s="118" t="s">
        <v>230</v>
      </c>
      <c r="D18" s="118" t="s">
        <v>231</v>
      </c>
      <c r="E18" s="118" t="s">
        <v>222</v>
      </c>
      <c r="F18" s="119" t="s">
        <v>203</v>
      </c>
      <c r="G18" s="120" t="n">
        <v>46322</v>
      </c>
      <c r="H18" s="118" t="s">
        <v>228</v>
      </c>
      <c r="I18" s="121"/>
    </row>
    <row r="19" customFormat="false" ht="15.75" hidden="false" customHeight="true" outlineLevel="0" collapsed="false">
      <c r="A19" s="110"/>
      <c r="B19" s="111" t="s">
        <v>57</v>
      </c>
      <c r="C19" s="112"/>
      <c r="D19" s="113"/>
      <c r="E19" s="113"/>
      <c r="F19" s="113"/>
      <c r="G19" s="114"/>
      <c r="H19" s="113"/>
      <c r="I19" s="113"/>
    </row>
    <row r="20" customFormat="false" ht="15.75" hidden="false" customHeight="true" outlineLevel="0" collapsed="false">
      <c r="A20" s="110"/>
      <c r="B20" s="115" t="s">
        <v>58</v>
      </c>
      <c r="C20" s="116"/>
      <c r="D20" s="116"/>
      <c r="E20" s="116"/>
      <c r="F20" s="116"/>
      <c r="G20" s="117"/>
      <c r="H20" s="116"/>
      <c r="I20" s="116"/>
    </row>
    <row r="21" customFormat="false" ht="223.5" hidden="false" customHeight="true" outlineLevel="0" collapsed="false">
      <c r="A21" s="118" t="s">
        <v>232</v>
      </c>
      <c r="B21" s="118" t="s">
        <v>59</v>
      </c>
      <c r="C21" s="118" t="s">
        <v>233</v>
      </c>
      <c r="D21" s="118" t="s">
        <v>234</v>
      </c>
      <c r="E21" s="118" t="s">
        <v>222</v>
      </c>
      <c r="F21" s="119" t="s">
        <v>203</v>
      </c>
      <c r="G21" s="120" t="n">
        <v>46322</v>
      </c>
      <c r="H21" s="118" t="s">
        <v>221</v>
      </c>
      <c r="I21" s="121"/>
    </row>
    <row r="22" customFormat="false" ht="150.75" hidden="false" customHeight="true" outlineLevel="0" collapsed="false">
      <c r="A22" s="118" t="s">
        <v>235</v>
      </c>
      <c r="B22" s="118" t="s">
        <v>60</v>
      </c>
      <c r="C22" s="118" t="s">
        <v>236</v>
      </c>
      <c r="D22" s="118" t="s">
        <v>237</v>
      </c>
      <c r="E22" s="118" t="s">
        <v>222</v>
      </c>
      <c r="F22" s="119" t="s">
        <v>203</v>
      </c>
      <c r="G22" s="120" t="n">
        <v>46322</v>
      </c>
      <c r="H22" s="118" t="s">
        <v>221</v>
      </c>
      <c r="I22" s="121" t="s">
        <v>61</v>
      </c>
    </row>
    <row r="23" customFormat="false" ht="136.5" hidden="false" customHeight="true" outlineLevel="0" collapsed="false">
      <c r="A23" s="118" t="s">
        <v>238</v>
      </c>
      <c r="B23" s="118" t="s">
        <v>62</v>
      </c>
      <c r="C23" s="118" t="s">
        <v>239</v>
      </c>
      <c r="D23" s="118" t="s">
        <v>240</v>
      </c>
      <c r="E23" s="118" t="s">
        <v>222</v>
      </c>
      <c r="F23" s="119" t="s">
        <v>203</v>
      </c>
      <c r="G23" s="120" t="n">
        <v>46322</v>
      </c>
      <c r="H23" s="118" t="s">
        <v>228</v>
      </c>
      <c r="I23" s="121" t="s">
        <v>63</v>
      </c>
    </row>
    <row r="24" customFormat="false" ht="136.5" hidden="false" customHeight="true" outlineLevel="0" collapsed="false">
      <c r="A24" s="118" t="s">
        <v>241</v>
      </c>
      <c r="B24" s="118" t="s">
        <v>64</v>
      </c>
      <c r="C24" s="118" t="s">
        <v>242</v>
      </c>
      <c r="D24" s="118" t="s">
        <v>243</v>
      </c>
      <c r="E24" s="118" t="s">
        <v>222</v>
      </c>
      <c r="F24" s="119" t="s">
        <v>203</v>
      </c>
      <c r="G24" s="120" t="n">
        <v>46322</v>
      </c>
      <c r="H24" s="118" t="s">
        <v>228</v>
      </c>
      <c r="I24" s="121"/>
    </row>
    <row r="25" customFormat="false" ht="15.75" hidden="false" customHeight="true" outlineLevel="0" collapsed="false">
      <c r="A25" s="110"/>
      <c r="B25" s="115" t="s">
        <v>65</v>
      </c>
      <c r="C25" s="116"/>
      <c r="D25" s="116"/>
      <c r="E25" s="116"/>
      <c r="F25" s="116"/>
      <c r="G25" s="117"/>
      <c r="H25" s="116"/>
      <c r="I25" s="116"/>
    </row>
    <row r="26" customFormat="false" ht="136.5" hidden="false" customHeight="true" outlineLevel="0" collapsed="false">
      <c r="A26" s="118" t="s">
        <v>244</v>
      </c>
      <c r="B26" s="118" t="s">
        <v>66</v>
      </c>
      <c r="C26" s="118" t="s">
        <v>245</v>
      </c>
      <c r="D26" s="118" t="s">
        <v>246</v>
      </c>
      <c r="E26" s="118" t="s">
        <v>222</v>
      </c>
      <c r="F26" s="119" t="s">
        <v>203</v>
      </c>
      <c r="G26" s="120" t="n">
        <v>46322</v>
      </c>
      <c r="H26" s="118" t="s">
        <v>221</v>
      </c>
      <c r="I26" s="121" t="s">
        <v>67</v>
      </c>
    </row>
    <row r="27" customFormat="false" ht="136.5" hidden="false" customHeight="true" outlineLevel="0" collapsed="false">
      <c r="A27" s="118" t="s">
        <v>247</v>
      </c>
      <c r="B27" s="118" t="s">
        <v>68</v>
      </c>
      <c r="C27" s="118" t="s">
        <v>248</v>
      </c>
      <c r="D27" s="118" t="s">
        <v>249</v>
      </c>
      <c r="E27" s="118" t="s">
        <v>222</v>
      </c>
      <c r="F27" s="119" t="s">
        <v>203</v>
      </c>
      <c r="G27" s="120" t="n">
        <v>46322</v>
      </c>
      <c r="H27" s="118" t="s">
        <v>221</v>
      </c>
      <c r="I27" s="121" t="s">
        <v>67</v>
      </c>
    </row>
    <row r="28" customFormat="false" ht="136.5" hidden="false" customHeight="true" outlineLevel="0" collapsed="false">
      <c r="A28" s="118" t="s">
        <v>250</v>
      </c>
      <c r="B28" s="118" t="s">
        <v>69</v>
      </c>
      <c r="C28" s="118" t="s">
        <v>251</v>
      </c>
      <c r="D28" s="118" t="s">
        <v>252</v>
      </c>
      <c r="E28" s="118" t="s">
        <v>222</v>
      </c>
      <c r="F28" s="119" t="s">
        <v>203</v>
      </c>
      <c r="G28" s="120" t="n">
        <v>46322</v>
      </c>
      <c r="H28" s="118" t="s">
        <v>221</v>
      </c>
      <c r="I28" s="121" t="s">
        <v>67</v>
      </c>
    </row>
    <row r="29" customFormat="false" ht="136.5" hidden="false" customHeight="true" outlineLevel="0" collapsed="false">
      <c r="A29" s="118" t="s">
        <v>253</v>
      </c>
      <c r="B29" s="118" t="s">
        <v>70</v>
      </c>
      <c r="C29" s="118" t="s">
        <v>254</v>
      </c>
      <c r="D29" s="118" t="s">
        <v>255</v>
      </c>
      <c r="E29" s="118" t="s">
        <v>222</v>
      </c>
      <c r="F29" s="119" t="s">
        <v>203</v>
      </c>
      <c r="G29" s="120" t="n">
        <v>46322</v>
      </c>
      <c r="H29" s="118" t="s">
        <v>228</v>
      </c>
      <c r="I29" s="121" t="s">
        <v>67</v>
      </c>
    </row>
    <row r="30" customFormat="false" ht="136.5" hidden="false" customHeight="true" outlineLevel="0" collapsed="false">
      <c r="A30" s="118" t="s">
        <v>256</v>
      </c>
      <c r="B30" s="118" t="s">
        <v>71</v>
      </c>
      <c r="C30" s="118" t="s">
        <v>257</v>
      </c>
      <c r="D30" s="118" t="s">
        <v>258</v>
      </c>
      <c r="E30" s="118" t="s">
        <v>232</v>
      </c>
      <c r="F30" s="119" t="s">
        <v>203</v>
      </c>
      <c r="G30" s="120" t="n">
        <v>46322</v>
      </c>
      <c r="H30" s="118" t="s">
        <v>221</v>
      </c>
      <c r="I30" s="121" t="s">
        <v>67</v>
      </c>
    </row>
    <row r="31" customFormat="false" ht="121.5" hidden="false" customHeight="true" outlineLevel="0" collapsed="false">
      <c r="A31" s="118" t="s">
        <v>259</v>
      </c>
      <c r="B31" s="118" t="s">
        <v>72</v>
      </c>
      <c r="C31" s="118" t="s">
        <v>260</v>
      </c>
      <c r="D31" s="118" t="s">
        <v>261</v>
      </c>
      <c r="E31" s="118" t="s">
        <v>222</v>
      </c>
      <c r="F31" s="119" t="s">
        <v>203</v>
      </c>
      <c r="G31" s="120" t="n">
        <v>46322</v>
      </c>
      <c r="H31" s="118" t="s">
        <v>228</v>
      </c>
      <c r="I31" s="121" t="s">
        <v>73</v>
      </c>
    </row>
    <row r="32" customFormat="false" ht="165" hidden="false" customHeight="true" outlineLevel="0" collapsed="false">
      <c r="A32" s="118" t="s">
        <v>262</v>
      </c>
      <c r="B32" s="118" t="s">
        <v>74</v>
      </c>
      <c r="C32" s="118" t="s">
        <v>263</v>
      </c>
      <c r="D32" s="118" t="s">
        <v>264</v>
      </c>
      <c r="E32" s="118" t="s">
        <v>222</v>
      </c>
      <c r="F32" s="119" t="s">
        <v>203</v>
      </c>
      <c r="G32" s="120" t="n">
        <v>46322</v>
      </c>
      <c r="H32" s="118" t="s">
        <v>228</v>
      </c>
      <c r="I32" s="121" t="s">
        <v>67</v>
      </c>
    </row>
    <row r="33" customFormat="false" ht="136.5" hidden="false" customHeight="true" outlineLevel="0" collapsed="false">
      <c r="A33" s="118" t="s">
        <v>265</v>
      </c>
      <c r="B33" s="118" t="s">
        <v>75</v>
      </c>
      <c r="C33" s="118" t="s">
        <v>266</v>
      </c>
      <c r="D33" s="118" t="s">
        <v>267</v>
      </c>
      <c r="E33" s="118" t="s">
        <v>222</v>
      </c>
      <c r="F33" s="119" t="s">
        <v>203</v>
      </c>
      <c r="G33" s="120" t="n">
        <v>46322</v>
      </c>
      <c r="H33" s="118" t="s">
        <v>221</v>
      </c>
      <c r="I33" s="121" t="s">
        <v>76</v>
      </c>
    </row>
    <row r="34" customFormat="false" ht="107.25" hidden="false" customHeight="true" outlineLevel="0" collapsed="false">
      <c r="A34" s="118" t="s">
        <v>268</v>
      </c>
      <c r="B34" s="118" t="s">
        <v>77</v>
      </c>
      <c r="C34" s="118" t="s">
        <v>269</v>
      </c>
      <c r="D34" s="118" t="s">
        <v>270</v>
      </c>
      <c r="E34" s="118" t="s">
        <v>222</v>
      </c>
      <c r="F34" s="119" t="s">
        <v>203</v>
      </c>
      <c r="G34" s="120" t="n">
        <v>46322</v>
      </c>
      <c r="H34" s="118" t="s">
        <v>228</v>
      </c>
      <c r="I34" s="121"/>
    </row>
    <row r="35" customFormat="false" ht="121.5" hidden="false" customHeight="true" outlineLevel="0" collapsed="false">
      <c r="A35" s="118" t="s">
        <v>271</v>
      </c>
      <c r="B35" s="118" t="s">
        <v>78</v>
      </c>
      <c r="C35" s="118" t="s">
        <v>272</v>
      </c>
      <c r="D35" s="118" t="s">
        <v>273</v>
      </c>
      <c r="E35" s="118" t="s">
        <v>222</v>
      </c>
      <c r="F35" s="119" t="s">
        <v>203</v>
      </c>
      <c r="G35" s="120" t="n">
        <v>46322</v>
      </c>
      <c r="H35" s="118" t="s">
        <v>228</v>
      </c>
      <c r="I35" s="121" t="s">
        <v>79</v>
      </c>
    </row>
    <row r="36" customFormat="false" ht="15.75" hidden="false" customHeight="true" outlineLevel="0" collapsed="false">
      <c r="A36" s="110"/>
      <c r="B36" s="111" t="s">
        <v>80</v>
      </c>
      <c r="C36" s="112"/>
      <c r="D36" s="113"/>
      <c r="E36" s="113"/>
      <c r="F36" s="113"/>
      <c r="G36" s="114"/>
      <c r="H36" s="113"/>
      <c r="I36" s="113"/>
    </row>
    <row r="37" customFormat="false" ht="15.75" hidden="false" customHeight="true" outlineLevel="0" collapsed="false">
      <c r="A37" s="110"/>
      <c r="B37" s="115" t="s">
        <v>81</v>
      </c>
      <c r="C37" s="116"/>
      <c r="D37" s="116"/>
      <c r="E37" s="116"/>
      <c r="F37" s="116"/>
      <c r="G37" s="117"/>
      <c r="H37" s="116"/>
      <c r="I37" s="116"/>
    </row>
    <row r="38" customFormat="false" ht="107.25" hidden="false" customHeight="true" outlineLevel="0" collapsed="false">
      <c r="A38" s="118" t="s">
        <v>274</v>
      </c>
      <c r="B38" s="118" t="s">
        <v>82</v>
      </c>
      <c r="C38" s="118" t="s">
        <v>275</v>
      </c>
      <c r="D38" s="118" t="s">
        <v>276</v>
      </c>
      <c r="E38" s="118" t="s">
        <v>222</v>
      </c>
      <c r="F38" s="119" t="s">
        <v>203</v>
      </c>
      <c r="G38" s="120" t="n">
        <v>46322</v>
      </c>
      <c r="H38" s="118" t="s">
        <v>221</v>
      </c>
      <c r="I38" s="121"/>
    </row>
    <row r="39" customFormat="false" ht="121.5" hidden="false" customHeight="true" outlineLevel="0" collapsed="false">
      <c r="A39" s="118" t="s">
        <v>277</v>
      </c>
      <c r="B39" s="118" t="s">
        <v>83</v>
      </c>
      <c r="C39" s="118" t="s">
        <v>278</v>
      </c>
      <c r="D39" s="118" t="s">
        <v>279</v>
      </c>
      <c r="E39" s="118" t="s">
        <v>232</v>
      </c>
      <c r="F39" s="119" t="s">
        <v>203</v>
      </c>
      <c r="G39" s="120" t="n">
        <v>46322</v>
      </c>
      <c r="H39" s="118" t="s">
        <v>221</v>
      </c>
      <c r="I39" s="121"/>
    </row>
    <row r="40" customFormat="false" ht="107.25" hidden="false" customHeight="true" outlineLevel="0" collapsed="false">
      <c r="A40" s="118" t="s">
        <v>280</v>
      </c>
      <c r="B40" s="118" t="s">
        <v>84</v>
      </c>
      <c r="C40" s="118" t="s">
        <v>281</v>
      </c>
      <c r="D40" s="118" t="s">
        <v>282</v>
      </c>
      <c r="E40" s="118" t="s">
        <v>222</v>
      </c>
      <c r="F40" s="119" t="s">
        <v>203</v>
      </c>
      <c r="G40" s="120" t="n">
        <v>46322</v>
      </c>
      <c r="H40" s="118" t="s">
        <v>228</v>
      </c>
      <c r="I40" s="121"/>
    </row>
    <row r="41" customFormat="false" ht="107.25" hidden="false" customHeight="true" outlineLevel="0" collapsed="false">
      <c r="A41" s="118" t="s">
        <v>283</v>
      </c>
      <c r="B41" s="118" t="s">
        <v>85</v>
      </c>
      <c r="C41" s="118" t="s">
        <v>284</v>
      </c>
      <c r="D41" s="118" t="s">
        <v>285</v>
      </c>
      <c r="E41" s="118" t="s">
        <v>222</v>
      </c>
      <c r="F41" s="119" t="s">
        <v>203</v>
      </c>
      <c r="G41" s="120" t="n">
        <v>46322</v>
      </c>
      <c r="H41" s="118" t="s">
        <v>228</v>
      </c>
      <c r="I41" s="121"/>
    </row>
    <row r="42" customFormat="false" ht="15.75" hidden="false" customHeight="true" outlineLevel="0" collapsed="false">
      <c r="A42" s="110"/>
      <c r="B42" s="115" t="s">
        <v>86</v>
      </c>
      <c r="C42" s="116"/>
      <c r="D42" s="116"/>
      <c r="E42" s="116"/>
      <c r="F42" s="116"/>
      <c r="G42" s="117"/>
      <c r="H42" s="116"/>
      <c r="I42" s="116"/>
    </row>
    <row r="43" customFormat="false" ht="121.5" hidden="false" customHeight="true" outlineLevel="0" collapsed="false">
      <c r="A43" s="118" t="s">
        <v>286</v>
      </c>
      <c r="B43" s="118" t="s">
        <v>87</v>
      </c>
      <c r="C43" s="118" t="s">
        <v>287</v>
      </c>
      <c r="D43" s="118" t="s">
        <v>288</v>
      </c>
      <c r="E43" s="118" t="s">
        <v>222</v>
      </c>
      <c r="F43" s="119" t="s">
        <v>203</v>
      </c>
      <c r="G43" s="120" t="n">
        <v>46322</v>
      </c>
      <c r="H43" s="118" t="s">
        <v>228</v>
      </c>
      <c r="I43" s="121"/>
    </row>
    <row r="44" customFormat="false" ht="107.25" hidden="false" customHeight="true" outlineLevel="0" collapsed="false">
      <c r="A44" s="118" t="s">
        <v>289</v>
      </c>
      <c r="B44" s="118" t="s">
        <v>88</v>
      </c>
      <c r="C44" s="118" t="s">
        <v>290</v>
      </c>
      <c r="D44" s="118" t="s">
        <v>291</v>
      </c>
      <c r="E44" s="118" t="s">
        <v>222</v>
      </c>
      <c r="F44" s="119" t="s">
        <v>203</v>
      </c>
      <c r="G44" s="120" t="n">
        <v>46322</v>
      </c>
      <c r="H44" s="118" t="s">
        <v>228</v>
      </c>
      <c r="I44" s="121"/>
    </row>
    <row r="45" customFormat="false" ht="136.5" hidden="false" customHeight="true" outlineLevel="0" collapsed="false">
      <c r="A45" s="118" t="s">
        <v>292</v>
      </c>
      <c r="B45" s="118" t="s">
        <v>89</v>
      </c>
      <c r="C45" s="118" t="s">
        <v>293</v>
      </c>
      <c r="D45" s="118" t="s">
        <v>294</v>
      </c>
      <c r="E45" s="118" t="s">
        <v>222</v>
      </c>
      <c r="F45" s="119" t="s">
        <v>203</v>
      </c>
      <c r="G45" s="120" t="n">
        <v>46322</v>
      </c>
      <c r="H45" s="118" t="s">
        <v>228</v>
      </c>
      <c r="I45" s="121" t="s">
        <v>67</v>
      </c>
    </row>
    <row r="46" customFormat="false" ht="15.75" hidden="false" customHeight="true" outlineLevel="0" collapsed="false">
      <c r="A46" s="110"/>
      <c r="B46" s="111" t="s">
        <v>90</v>
      </c>
      <c r="C46" s="112"/>
      <c r="D46" s="113"/>
      <c r="E46" s="113"/>
      <c r="F46" s="113"/>
      <c r="G46" s="114"/>
      <c r="H46" s="113"/>
      <c r="I46" s="113"/>
    </row>
    <row r="47" customFormat="false" ht="15.75" hidden="false" customHeight="true" outlineLevel="0" collapsed="false">
      <c r="A47" s="110"/>
      <c r="B47" s="115" t="s">
        <v>91</v>
      </c>
      <c r="C47" s="116"/>
      <c r="D47" s="116"/>
      <c r="E47" s="116"/>
      <c r="F47" s="116"/>
      <c r="G47" s="117"/>
      <c r="H47" s="116"/>
      <c r="I47" s="116"/>
    </row>
    <row r="48" customFormat="false" ht="150.75" hidden="false" customHeight="true" outlineLevel="0" collapsed="false">
      <c r="A48" s="118" t="s">
        <v>295</v>
      </c>
      <c r="B48" s="118" t="s">
        <v>92</v>
      </c>
      <c r="C48" s="118" t="s">
        <v>296</v>
      </c>
      <c r="D48" s="118" t="s">
        <v>297</v>
      </c>
      <c r="E48" s="118" t="s">
        <v>235</v>
      </c>
      <c r="F48" s="119" t="s">
        <v>203</v>
      </c>
      <c r="G48" s="120" t="n">
        <v>46322</v>
      </c>
      <c r="H48" s="118" t="s">
        <v>221</v>
      </c>
      <c r="I48" s="121"/>
    </row>
    <row r="49" customFormat="false" ht="136.5" hidden="false" customHeight="true" outlineLevel="0" collapsed="false">
      <c r="A49" s="118" t="s">
        <v>298</v>
      </c>
      <c r="B49" s="118" t="s">
        <v>93</v>
      </c>
      <c r="C49" s="118" t="s">
        <v>299</v>
      </c>
      <c r="D49" s="118" t="s">
        <v>300</v>
      </c>
      <c r="E49" s="118" t="s">
        <v>235</v>
      </c>
      <c r="F49" s="119" t="s">
        <v>203</v>
      </c>
      <c r="G49" s="120" t="n">
        <v>46322</v>
      </c>
      <c r="H49" s="118" t="s">
        <v>228</v>
      </c>
      <c r="I49" s="121"/>
    </row>
    <row r="50" customFormat="false" ht="15.75" hidden="false" customHeight="true" outlineLevel="0" collapsed="false">
      <c r="A50" s="110"/>
      <c r="B50" s="115" t="s">
        <v>94</v>
      </c>
      <c r="C50" s="116"/>
      <c r="D50" s="116"/>
      <c r="E50" s="116"/>
      <c r="F50" s="116"/>
      <c r="G50" s="117"/>
      <c r="H50" s="116"/>
      <c r="I50" s="116"/>
    </row>
    <row r="51" customFormat="false" ht="150.75" hidden="false" customHeight="true" outlineLevel="0" collapsed="false">
      <c r="A51" s="118" t="s">
        <v>301</v>
      </c>
      <c r="B51" s="118" t="s">
        <v>95</v>
      </c>
      <c r="C51" s="118" t="s">
        <v>302</v>
      </c>
      <c r="D51" s="118" t="s">
        <v>303</v>
      </c>
      <c r="E51" s="118" t="s">
        <v>295</v>
      </c>
      <c r="F51" s="119" t="s">
        <v>203</v>
      </c>
      <c r="G51" s="120" t="n">
        <v>46322</v>
      </c>
      <c r="H51" s="118" t="s">
        <v>228</v>
      </c>
      <c r="I51" s="121" t="s">
        <v>67</v>
      </c>
    </row>
    <row r="52" customFormat="false" ht="107.25" hidden="false" customHeight="true" outlineLevel="0" collapsed="false">
      <c r="A52" s="118" t="s">
        <v>304</v>
      </c>
      <c r="B52" s="118" t="s">
        <v>96</v>
      </c>
      <c r="C52" s="118" t="s">
        <v>305</v>
      </c>
      <c r="D52" s="118" t="s">
        <v>306</v>
      </c>
      <c r="E52" s="118" t="s">
        <v>235</v>
      </c>
      <c r="F52" s="119" t="s">
        <v>203</v>
      </c>
      <c r="G52" s="120" t="n">
        <v>46322</v>
      </c>
      <c r="H52" s="118" t="s">
        <v>228</v>
      </c>
      <c r="I52" s="121" t="s">
        <v>67</v>
      </c>
    </row>
    <row r="53" customFormat="false" ht="107.25" hidden="false" customHeight="true" outlineLevel="0" collapsed="false">
      <c r="A53" s="118" t="s">
        <v>307</v>
      </c>
      <c r="B53" s="118" t="s">
        <v>97</v>
      </c>
      <c r="C53" s="118" t="s">
        <v>308</v>
      </c>
      <c r="D53" s="118" t="s">
        <v>309</v>
      </c>
      <c r="E53" s="118" t="s">
        <v>235</v>
      </c>
      <c r="F53" s="119" t="s">
        <v>203</v>
      </c>
      <c r="G53" s="120" t="n">
        <v>46322</v>
      </c>
      <c r="H53" s="118" t="s">
        <v>310</v>
      </c>
      <c r="I53" s="121"/>
    </row>
    <row r="54" customFormat="false" ht="15.75" hidden="false" customHeight="true" outlineLevel="0" collapsed="false">
      <c r="A54" s="110"/>
      <c r="B54" s="111" t="s">
        <v>98</v>
      </c>
      <c r="C54" s="112"/>
      <c r="D54" s="113"/>
      <c r="E54" s="113"/>
      <c r="F54" s="113"/>
      <c r="G54" s="114"/>
      <c r="H54" s="113"/>
      <c r="I54" s="113"/>
    </row>
    <row r="55" customFormat="false" ht="15.75" hidden="false" customHeight="true" outlineLevel="0" collapsed="false">
      <c r="A55" s="110"/>
      <c r="B55" s="115" t="s">
        <v>99</v>
      </c>
      <c r="C55" s="116"/>
      <c r="D55" s="116"/>
      <c r="E55" s="116"/>
      <c r="F55" s="116"/>
      <c r="G55" s="117"/>
      <c r="H55" s="116"/>
      <c r="I55" s="116"/>
    </row>
    <row r="56" customFormat="false" ht="136.5" hidden="false" customHeight="true" outlineLevel="0" collapsed="false">
      <c r="A56" s="118" t="s">
        <v>311</v>
      </c>
      <c r="B56" s="118" t="s">
        <v>100</v>
      </c>
      <c r="C56" s="118" t="s">
        <v>312</v>
      </c>
      <c r="D56" s="118" t="s">
        <v>313</v>
      </c>
      <c r="E56" s="118" t="s">
        <v>271</v>
      </c>
      <c r="F56" s="119" t="s">
        <v>203</v>
      </c>
      <c r="G56" s="120" t="n">
        <v>46322</v>
      </c>
      <c r="H56" s="118" t="s">
        <v>221</v>
      </c>
      <c r="I56" s="121"/>
    </row>
    <row r="57" customFormat="false" ht="107.25" hidden="false" customHeight="true" outlineLevel="0" collapsed="false">
      <c r="A57" s="118" t="s">
        <v>314</v>
      </c>
      <c r="B57" s="118" t="s">
        <v>101</v>
      </c>
      <c r="C57" s="118" t="s">
        <v>315</v>
      </c>
      <c r="D57" s="118" t="s">
        <v>316</v>
      </c>
      <c r="E57" s="118" t="s">
        <v>235</v>
      </c>
      <c r="F57" s="119" t="s">
        <v>203</v>
      </c>
      <c r="G57" s="120" t="n">
        <v>46322</v>
      </c>
      <c r="H57" s="118" t="s">
        <v>228</v>
      </c>
      <c r="I57" s="121"/>
    </row>
    <row r="58" customFormat="false" ht="136.5" hidden="false" customHeight="true" outlineLevel="0" collapsed="false">
      <c r="A58" s="118" t="s">
        <v>317</v>
      </c>
      <c r="B58" s="118" t="s">
        <v>102</v>
      </c>
      <c r="C58" s="118" t="s">
        <v>318</v>
      </c>
      <c r="D58" s="118" t="s">
        <v>319</v>
      </c>
      <c r="E58" s="118" t="s">
        <v>238</v>
      </c>
      <c r="F58" s="119" t="s">
        <v>203</v>
      </c>
      <c r="G58" s="120" t="n">
        <v>46322</v>
      </c>
      <c r="H58" s="118" t="s">
        <v>228</v>
      </c>
      <c r="I58" s="121"/>
    </row>
    <row r="59" customFormat="false" ht="107.25" hidden="false" customHeight="true" outlineLevel="0" collapsed="false">
      <c r="A59" s="118" t="s">
        <v>320</v>
      </c>
      <c r="B59" s="118" t="s">
        <v>103</v>
      </c>
      <c r="C59" s="118" t="s">
        <v>321</v>
      </c>
      <c r="D59" s="118" t="s">
        <v>322</v>
      </c>
      <c r="E59" s="118" t="s">
        <v>323</v>
      </c>
      <c r="F59" s="119" t="s">
        <v>200</v>
      </c>
      <c r="G59" s="120" t="n">
        <v>46322</v>
      </c>
      <c r="H59" s="118" t="s">
        <v>310</v>
      </c>
      <c r="I59" s="121" t="s">
        <v>324</v>
      </c>
    </row>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sheetData>
  <mergeCells count="6">
    <mergeCell ref="B2:G2"/>
    <mergeCell ref="B3:G3"/>
    <mergeCell ref="B4:G4"/>
    <mergeCell ref="B5:G5"/>
    <mergeCell ref="A10:I10"/>
    <mergeCell ref="A11:I11"/>
  </mergeCells>
  <conditionalFormatting sqref="F12:F59">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"Blocked"</formula>
    </cfRule>
    <cfRule type="cellIs" priority="6" operator="equal" aboveAverage="0" equalAverage="0" bottom="0" percent="0" rank="0" text="" dxfId="4">
      <formula>"Skipped"</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59"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15.63"/>
    <col collapsed="false" customWidth="true" hidden="false" outlineLevel="0" max="2" min="2" style="1" width="46.88"/>
    <col collapsed="false" customWidth="true" hidden="false" outlineLevel="0" max="4" min="3" style="1" width="41.25"/>
    <col collapsed="false" customWidth="true" hidden="false" outlineLevel="0" max="5" min="5" style="1" width="20.38"/>
    <col collapsed="false" customWidth="true" hidden="false" outlineLevel="0" max="7" min="6" style="1" width="13"/>
    <col collapsed="false" customWidth="true" hidden="false" outlineLevel="0" max="8" min="8" style="1" width="11"/>
    <col collapsed="false" customWidth="true" hidden="false" outlineLevel="0" max="9" min="9" style="1" width="28"/>
  </cols>
  <sheetData>
    <row r="1" customFormat="false" ht="15.75" hidden="false" customHeight="true" outlineLevel="0" collapsed="false">
      <c r="A1" s="86" t="s">
        <v>194</v>
      </c>
      <c r="B1" s="87"/>
      <c r="C1" s="87"/>
      <c r="D1" s="88"/>
      <c r="E1" s="89"/>
      <c r="F1" s="89"/>
      <c r="G1" s="90"/>
      <c r="H1" s="90"/>
      <c r="I1" s="88"/>
      <c r="J1" s="88"/>
      <c r="K1" s="89"/>
      <c r="L1" s="89"/>
      <c r="M1" s="89"/>
      <c r="N1" s="89"/>
      <c r="O1" s="89"/>
      <c r="P1" s="89"/>
      <c r="Q1" s="89"/>
      <c r="R1" s="89"/>
      <c r="S1" s="89"/>
      <c r="T1" s="89"/>
      <c r="U1" s="89"/>
      <c r="V1" s="89"/>
      <c r="W1" s="89"/>
      <c r="X1" s="89"/>
      <c r="Y1" s="89"/>
      <c r="Z1" s="89"/>
      <c r="AA1" s="88"/>
      <c r="AB1" s="88"/>
    </row>
    <row r="2" customFormat="false" ht="15.75" hidden="false" customHeight="true" outlineLevel="0" collapsed="false">
      <c r="A2" s="91" t="s">
        <v>195</v>
      </c>
      <c r="B2" s="92" t="s">
        <v>325</v>
      </c>
      <c r="C2" s="92"/>
      <c r="D2" s="92"/>
      <c r="E2" s="92"/>
      <c r="F2" s="92"/>
      <c r="G2" s="92"/>
      <c r="H2" s="93"/>
      <c r="I2" s="94" t="s">
        <v>197</v>
      </c>
      <c r="J2" s="95"/>
      <c r="K2" s="89"/>
      <c r="L2" s="89"/>
      <c r="M2" s="89"/>
      <c r="N2" s="89"/>
      <c r="O2" s="89"/>
      <c r="P2" s="89"/>
      <c r="Q2" s="89"/>
      <c r="R2" s="89"/>
      <c r="S2" s="89"/>
      <c r="T2" s="89"/>
      <c r="U2" s="89"/>
      <c r="V2" s="89"/>
      <c r="W2" s="89"/>
      <c r="X2" s="89"/>
      <c r="Y2" s="89"/>
      <c r="Z2" s="89"/>
      <c r="AA2" s="88"/>
      <c r="AB2" s="88"/>
    </row>
    <row r="3" customFormat="false" ht="15.75" hidden="false" customHeight="true" outlineLevel="0" collapsed="false">
      <c r="A3" s="91" t="s">
        <v>198</v>
      </c>
      <c r="B3" s="92" t="s">
        <v>326</v>
      </c>
      <c r="C3" s="92"/>
      <c r="D3" s="92"/>
      <c r="E3" s="92"/>
      <c r="F3" s="92"/>
      <c r="G3" s="92"/>
      <c r="H3" s="93"/>
      <c r="I3" s="94" t="s">
        <v>200</v>
      </c>
      <c r="J3" s="95"/>
      <c r="K3" s="89"/>
      <c r="L3" s="89"/>
      <c r="M3" s="89"/>
      <c r="N3" s="89"/>
      <c r="O3" s="89"/>
      <c r="P3" s="89"/>
      <c r="Q3" s="89"/>
      <c r="R3" s="89"/>
      <c r="S3" s="89"/>
      <c r="T3" s="89"/>
      <c r="U3" s="89"/>
      <c r="V3" s="89"/>
      <c r="W3" s="89"/>
      <c r="X3" s="89"/>
      <c r="Y3" s="89"/>
      <c r="Z3" s="89"/>
      <c r="AA3" s="88"/>
      <c r="AB3" s="88"/>
    </row>
    <row r="4" customFormat="false" ht="15.75" hidden="false" customHeight="true" outlineLevel="0" collapsed="false">
      <c r="A4" s="91" t="s">
        <v>201</v>
      </c>
      <c r="B4" s="96" t="s">
        <v>327</v>
      </c>
      <c r="C4" s="96"/>
      <c r="D4" s="96"/>
      <c r="E4" s="96"/>
      <c r="F4" s="96"/>
      <c r="G4" s="96"/>
      <c r="H4" s="93"/>
      <c r="I4" s="94" t="s">
        <v>203</v>
      </c>
      <c r="J4" s="95"/>
      <c r="K4" s="89"/>
      <c r="L4" s="89"/>
      <c r="M4" s="89"/>
      <c r="N4" s="89"/>
      <c r="O4" s="89"/>
      <c r="P4" s="89"/>
      <c r="Q4" s="89"/>
      <c r="R4" s="89"/>
      <c r="S4" s="89"/>
      <c r="T4" s="89"/>
      <c r="U4" s="89"/>
      <c r="V4" s="89"/>
      <c r="W4" s="89"/>
      <c r="X4" s="89"/>
      <c r="Y4" s="89"/>
      <c r="Z4" s="89"/>
      <c r="AA4" s="88"/>
      <c r="AB4" s="88"/>
    </row>
    <row r="5" customFormat="false" ht="15.75" hidden="false" customHeight="true" outlineLevel="0" collapsed="false">
      <c r="A5" s="91" t="s">
        <v>204</v>
      </c>
      <c r="B5" s="92" t="s">
        <v>4</v>
      </c>
      <c r="C5" s="92"/>
      <c r="D5" s="92"/>
      <c r="E5" s="92"/>
      <c r="F5" s="92"/>
      <c r="G5" s="92"/>
      <c r="H5" s="93"/>
      <c r="I5" s="94" t="s">
        <v>205</v>
      </c>
      <c r="J5" s="95"/>
      <c r="K5" s="89"/>
      <c r="L5" s="89"/>
      <c r="M5" s="89"/>
      <c r="N5" s="89"/>
      <c r="O5" s="89"/>
      <c r="P5" s="89"/>
      <c r="Q5" s="89"/>
      <c r="R5" s="89"/>
      <c r="S5" s="89"/>
      <c r="T5" s="89"/>
      <c r="U5" s="89"/>
      <c r="V5" s="89"/>
      <c r="W5" s="89"/>
      <c r="X5" s="89"/>
      <c r="Y5" s="89"/>
      <c r="Z5" s="89"/>
      <c r="AA5" s="88"/>
      <c r="AB5" s="88"/>
    </row>
    <row r="6" customFormat="false" ht="15.75" hidden="false" customHeight="true" outlineLevel="0" collapsed="false">
      <c r="A6" s="97" t="s">
        <v>197</v>
      </c>
      <c r="B6" s="97" t="s">
        <v>200</v>
      </c>
      <c r="C6" s="97" t="s">
        <v>203</v>
      </c>
      <c r="D6" s="97" t="s">
        <v>205</v>
      </c>
      <c r="E6" s="97" t="s">
        <v>206</v>
      </c>
      <c r="F6" s="97" t="s">
        <v>207</v>
      </c>
      <c r="G6" s="98"/>
      <c r="H6" s="93"/>
      <c r="I6" s="94" t="s">
        <v>206</v>
      </c>
      <c r="J6" s="95"/>
      <c r="K6" s="89"/>
      <c r="L6" s="89"/>
      <c r="M6" s="89"/>
      <c r="N6" s="89"/>
      <c r="O6" s="89"/>
      <c r="P6" s="89"/>
      <c r="Q6" s="89"/>
      <c r="R6" s="89"/>
      <c r="S6" s="89"/>
      <c r="T6" s="89"/>
      <c r="U6" s="89"/>
      <c r="V6" s="89"/>
      <c r="W6" s="89"/>
      <c r="X6" s="89"/>
      <c r="Y6" s="89"/>
      <c r="Z6" s="89"/>
      <c r="AA6" s="88"/>
      <c r="AB6" s="88"/>
    </row>
    <row r="7" customFormat="false" ht="15.75" hidden="false" customHeight="true" outlineLevel="0" collapsed="false">
      <c r="A7" s="99" t="n">
        <f aca="false">COUNTIF($F$12:$F$57,"Pass")</f>
        <v>7</v>
      </c>
      <c r="B7" s="99" t="n">
        <f aca="false">COUNTIF($F$12:$F$57,"Fail")</f>
        <v>1</v>
      </c>
      <c r="C7" s="99" t="n">
        <f aca="false">COUNTIF($F$12:$F$57,"Untested")</f>
        <v>28</v>
      </c>
      <c r="D7" s="99" t="n">
        <f aca="false">COUNTIF($F$12:$F$57,"Blocked")</f>
        <v>0</v>
      </c>
      <c r="E7" s="99" t="n">
        <f aca="false">COUNTIF($F$12:$F$57,"Skipped")</f>
        <v>0</v>
      </c>
      <c r="F7" s="99" t="n">
        <f aca="false">COUNTIF($A$12:$A$57,"T-F11-*")</f>
        <v>36</v>
      </c>
      <c r="G7" s="98"/>
      <c r="H7" s="93"/>
      <c r="I7" s="94" t="s">
        <v>208</v>
      </c>
      <c r="J7" s="95"/>
      <c r="K7" s="89"/>
      <c r="L7" s="89"/>
      <c r="M7" s="89"/>
      <c r="N7" s="89"/>
      <c r="O7" s="89"/>
      <c r="P7" s="89"/>
      <c r="Q7" s="89"/>
      <c r="R7" s="89"/>
      <c r="S7" s="89"/>
      <c r="T7" s="89"/>
      <c r="U7" s="89"/>
      <c r="V7" s="89"/>
      <c r="W7" s="89"/>
      <c r="X7" s="89"/>
      <c r="Y7" s="89"/>
      <c r="Z7" s="89"/>
      <c r="AA7" s="88"/>
      <c r="AB7" s="88"/>
    </row>
    <row r="8" customFormat="false" ht="15.75" hidden="false" customHeight="true" outlineLevel="0" collapsed="false">
      <c r="A8" s="100"/>
      <c r="B8" s="101"/>
      <c r="C8" s="101"/>
      <c r="D8" s="101"/>
      <c r="E8" s="101"/>
      <c r="F8" s="101"/>
      <c r="G8" s="102"/>
      <c r="H8" s="101"/>
      <c r="I8" s="101"/>
      <c r="J8" s="101"/>
      <c r="K8" s="101"/>
      <c r="L8" s="101"/>
      <c r="M8" s="101"/>
      <c r="N8" s="101"/>
      <c r="O8" s="101"/>
      <c r="P8" s="101"/>
      <c r="Q8" s="101"/>
      <c r="R8" s="101"/>
      <c r="S8" s="101"/>
      <c r="T8" s="101"/>
      <c r="U8" s="101"/>
      <c r="V8" s="101"/>
      <c r="W8" s="101"/>
      <c r="X8" s="101"/>
      <c r="Y8" s="101"/>
      <c r="Z8" s="103"/>
      <c r="AA8" s="103"/>
      <c r="AB8" s="103"/>
    </row>
    <row r="9" customFormat="false" ht="15.75" hidden="false" customHeight="true" outlineLevel="0" collapsed="false">
      <c r="A9" s="104" t="s">
        <v>209</v>
      </c>
      <c r="B9" s="104" t="s">
        <v>210</v>
      </c>
      <c r="C9" s="104" t="s">
        <v>211</v>
      </c>
      <c r="D9" s="105" t="s">
        <v>212</v>
      </c>
      <c r="E9" s="104" t="s">
        <v>213</v>
      </c>
      <c r="F9" s="104" t="s">
        <v>214</v>
      </c>
      <c r="G9" s="106" t="s">
        <v>215</v>
      </c>
      <c r="H9" s="104" t="s">
        <v>216</v>
      </c>
      <c r="I9" s="104" t="s">
        <v>46</v>
      </c>
      <c r="J9" s="101"/>
      <c r="K9" s="101"/>
      <c r="L9" s="101"/>
      <c r="M9" s="101"/>
      <c r="N9" s="101"/>
      <c r="O9" s="101"/>
      <c r="P9" s="101"/>
      <c r="Q9" s="101"/>
      <c r="R9" s="101"/>
      <c r="S9" s="101"/>
      <c r="T9" s="101"/>
      <c r="U9" s="101"/>
      <c r="V9" s="101"/>
      <c r="W9" s="101"/>
      <c r="X9" s="101"/>
      <c r="Y9" s="101"/>
      <c r="Z9" s="107"/>
      <c r="AA9" s="107"/>
      <c r="AB9" s="107"/>
    </row>
    <row r="10" customFormat="false" ht="15.75" hidden="false" customHeight="true" outlineLevel="0" collapsed="false">
      <c r="A10" s="108" t="s">
        <v>217</v>
      </c>
      <c r="B10" s="108"/>
      <c r="C10" s="108"/>
      <c r="D10" s="108"/>
      <c r="E10" s="108"/>
      <c r="F10" s="108"/>
      <c r="G10" s="108"/>
      <c r="H10" s="108"/>
      <c r="I10" s="108"/>
      <c r="J10" s="101"/>
      <c r="K10" s="101"/>
      <c r="L10" s="101"/>
      <c r="M10" s="101"/>
      <c r="N10" s="101"/>
      <c r="O10" s="101"/>
      <c r="P10" s="101"/>
      <c r="Q10" s="101"/>
      <c r="R10" s="101"/>
      <c r="S10" s="101"/>
      <c r="T10" s="101"/>
      <c r="U10" s="101"/>
      <c r="V10" s="101"/>
      <c r="W10" s="101"/>
      <c r="X10" s="101"/>
      <c r="Y10" s="101"/>
      <c r="Z10" s="101"/>
      <c r="AA10" s="101"/>
      <c r="AB10" s="101"/>
    </row>
    <row r="11" customFormat="false" ht="15.75" hidden="false" customHeight="true" outlineLevel="0" collapsed="false">
      <c r="A11" s="109"/>
      <c r="B11" s="109"/>
      <c r="C11" s="109"/>
      <c r="D11" s="109"/>
      <c r="E11" s="109"/>
      <c r="F11" s="109"/>
      <c r="G11" s="109"/>
      <c r="H11" s="109"/>
      <c r="I11" s="109"/>
      <c r="J11" s="101"/>
      <c r="K11" s="101"/>
      <c r="L11" s="101"/>
      <c r="M11" s="101"/>
      <c r="N11" s="101"/>
      <c r="O11" s="101"/>
      <c r="P11" s="101"/>
      <c r="Q11" s="101"/>
      <c r="R11" s="101"/>
      <c r="S11" s="101"/>
      <c r="T11" s="101"/>
      <c r="U11" s="101"/>
      <c r="V11" s="101"/>
      <c r="W11" s="101"/>
      <c r="X11" s="101"/>
      <c r="Y11" s="101"/>
      <c r="Z11" s="101"/>
      <c r="AA11" s="101"/>
      <c r="AB11" s="101"/>
    </row>
    <row r="12" customFormat="false" ht="15.75" hidden="false" customHeight="true" outlineLevel="0" collapsed="false">
      <c r="A12" s="110"/>
      <c r="B12" s="111" t="s">
        <v>106</v>
      </c>
      <c r="C12" s="112"/>
      <c r="D12" s="113"/>
      <c r="E12" s="113"/>
      <c r="F12" s="113"/>
      <c r="G12" s="114"/>
      <c r="H12" s="113"/>
      <c r="I12" s="113"/>
    </row>
    <row r="13" customFormat="false" ht="15.75" hidden="false" customHeight="true" outlineLevel="0" collapsed="false">
      <c r="A13" s="110"/>
      <c r="B13" s="115" t="s">
        <v>107</v>
      </c>
      <c r="C13" s="116"/>
      <c r="D13" s="116"/>
      <c r="E13" s="116"/>
      <c r="F13" s="116"/>
      <c r="G13" s="117"/>
      <c r="H13" s="116"/>
      <c r="I13" s="116"/>
    </row>
    <row r="14" customFormat="false" ht="78" hidden="false" customHeight="true" outlineLevel="0" collapsed="false">
      <c r="A14" s="118" t="s">
        <v>328</v>
      </c>
      <c r="B14" s="118" t="s">
        <v>108</v>
      </c>
      <c r="C14" s="118" t="s">
        <v>329</v>
      </c>
      <c r="D14" s="118" t="s">
        <v>330</v>
      </c>
      <c r="E14" s="118"/>
      <c r="F14" s="119" t="s">
        <v>203</v>
      </c>
      <c r="G14" s="120" t="n">
        <v>46322</v>
      </c>
      <c r="H14" s="118" t="s">
        <v>228</v>
      </c>
      <c r="I14" s="121"/>
    </row>
    <row r="15" customFormat="false" ht="107.25" hidden="false" customHeight="true" outlineLevel="0" collapsed="false">
      <c r="A15" s="118" t="s">
        <v>331</v>
      </c>
      <c r="B15" s="118" t="s">
        <v>109</v>
      </c>
      <c r="C15" s="118" t="s">
        <v>332</v>
      </c>
      <c r="D15" s="118" t="s">
        <v>333</v>
      </c>
      <c r="E15" s="118" t="s">
        <v>328</v>
      </c>
      <c r="F15" s="119" t="s">
        <v>203</v>
      </c>
      <c r="G15" s="120" t="n">
        <v>46322</v>
      </c>
      <c r="H15" s="118" t="s">
        <v>228</v>
      </c>
      <c r="I15" s="121"/>
    </row>
    <row r="16" customFormat="false" ht="93" hidden="false" customHeight="true" outlineLevel="0" collapsed="false">
      <c r="A16" s="118" t="s">
        <v>334</v>
      </c>
      <c r="B16" s="118" t="s">
        <v>110</v>
      </c>
      <c r="C16" s="118" t="s">
        <v>335</v>
      </c>
      <c r="D16" s="118" t="s">
        <v>336</v>
      </c>
      <c r="E16" s="118" t="s">
        <v>328</v>
      </c>
      <c r="F16" s="119" t="s">
        <v>203</v>
      </c>
      <c r="G16" s="120" t="n">
        <v>46322</v>
      </c>
      <c r="H16" s="118" t="s">
        <v>228</v>
      </c>
      <c r="I16" s="121"/>
    </row>
    <row r="17" customFormat="false" ht="15.75" hidden="false" customHeight="true" outlineLevel="0" collapsed="false">
      <c r="A17" s="110"/>
      <c r="B17" s="111" t="s">
        <v>111</v>
      </c>
      <c r="C17" s="112"/>
      <c r="D17" s="113"/>
      <c r="E17" s="113"/>
      <c r="F17" s="113"/>
      <c r="G17" s="114"/>
      <c r="H17" s="113"/>
      <c r="I17" s="113"/>
    </row>
    <row r="18" customFormat="false" ht="15.75" hidden="false" customHeight="true" outlineLevel="0" collapsed="false">
      <c r="A18" s="110"/>
      <c r="B18" s="115" t="s">
        <v>58</v>
      </c>
      <c r="C18" s="116"/>
      <c r="D18" s="116"/>
      <c r="E18" s="116"/>
      <c r="F18" s="116"/>
      <c r="G18" s="117"/>
      <c r="H18" s="116"/>
      <c r="I18" s="116"/>
    </row>
    <row r="19" customFormat="false" ht="237.75" hidden="false" customHeight="true" outlineLevel="0" collapsed="false">
      <c r="A19" s="118" t="s">
        <v>337</v>
      </c>
      <c r="B19" s="118" t="s">
        <v>112</v>
      </c>
      <c r="C19" s="118" t="s">
        <v>338</v>
      </c>
      <c r="D19" s="118" t="s">
        <v>339</v>
      </c>
      <c r="E19" s="118" t="s">
        <v>328</v>
      </c>
      <c r="F19" s="119" t="s">
        <v>203</v>
      </c>
      <c r="G19" s="120" t="n">
        <v>46322</v>
      </c>
      <c r="H19" s="118" t="s">
        <v>221</v>
      </c>
      <c r="I19" s="121"/>
    </row>
    <row r="20" customFormat="false" ht="136.5" hidden="false" customHeight="true" outlineLevel="0" collapsed="false">
      <c r="A20" s="118" t="s">
        <v>340</v>
      </c>
      <c r="B20" s="118" t="s">
        <v>113</v>
      </c>
      <c r="C20" s="118" t="s">
        <v>341</v>
      </c>
      <c r="D20" s="118" t="s">
        <v>342</v>
      </c>
      <c r="E20" s="118" t="s">
        <v>328</v>
      </c>
      <c r="F20" s="119" t="s">
        <v>203</v>
      </c>
      <c r="G20" s="120" t="n">
        <v>46322</v>
      </c>
      <c r="H20" s="118" t="s">
        <v>221</v>
      </c>
      <c r="I20" s="121" t="s">
        <v>114</v>
      </c>
    </row>
    <row r="21" customFormat="false" ht="150.75" hidden="false" customHeight="true" outlineLevel="0" collapsed="false">
      <c r="A21" s="118" t="s">
        <v>323</v>
      </c>
      <c r="B21" s="118" t="s">
        <v>115</v>
      </c>
      <c r="C21" s="118" t="s">
        <v>343</v>
      </c>
      <c r="D21" s="118" t="s">
        <v>344</v>
      </c>
      <c r="E21" s="118" t="s">
        <v>235</v>
      </c>
      <c r="F21" s="119" t="s">
        <v>203</v>
      </c>
      <c r="G21" s="120" t="n">
        <v>46322</v>
      </c>
      <c r="H21" s="118" t="s">
        <v>221</v>
      </c>
      <c r="I21" s="121"/>
    </row>
    <row r="22" customFormat="false" ht="121.5" hidden="false" customHeight="true" outlineLevel="0" collapsed="false">
      <c r="A22" s="118" t="s">
        <v>345</v>
      </c>
      <c r="B22" s="118" t="s">
        <v>116</v>
      </c>
      <c r="C22" s="118" t="s">
        <v>346</v>
      </c>
      <c r="D22" s="118" t="s">
        <v>347</v>
      </c>
      <c r="E22" s="118" t="s">
        <v>328</v>
      </c>
      <c r="F22" s="119" t="s">
        <v>203</v>
      </c>
      <c r="G22" s="120" t="n">
        <v>46322</v>
      </c>
      <c r="H22" s="118" t="s">
        <v>228</v>
      </c>
      <c r="I22" s="121" t="s">
        <v>117</v>
      </c>
    </row>
    <row r="23" customFormat="false" ht="121.5" hidden="false" customHeight="true" outlineLevel="0" collapsed="false">
      <c r="A23" s="118" t="s">
        <v>348</v>
      </c>
      <c r="B23" s="118" t="s">
        <v>118</v>
      </c>
      <c r="C23" s="118" t="s">
        <v>349</v>
      </c>
      <c r="D23" s="118" t="s">
        <v>350</v>
      </c>
      <c r="E23" s="118" t="s">
        <v>328</v>
      </c>
      <c r="F23" s="119" t="s">
        <v>203</v>
      </c>
      <c r="G23" s="120" t="n">
        <v>46322</v>
      </c>
      <c r="H23" s="118" t="s">
        <v>228</v>
      </c>
      <c r="I23" s="121" t="s">
        <v>119</v>
      </c>
    </row>
    <row r="24" customFormat="false" ht="121.5" hidden="false" customHeight="true" outlineLevel="0" collapsed="false">
      <c r="A24" s="118" t="s">
        <v>351</v>
      </c>
      <c r="B24" s="118" t="s">
        <v>120</v>
      </c>
      <c r="C24" s="118" t="s">
        <v>352</v>
      </c>
      <c r="D24" s="118" t="s">
        <v>353</v>
      </c>
      <c r="E24" s="118" t="s">
        <v>328</v>
      </c>
      <c r="F24" s="119" t="s">
        <v>203</v>
      </c>
      <c r="G24" s="120" t="n">
        <v>46322</v>
      </c>
      <c r="H24" s="118" t="s">
        <v>228</v>
      </c>
      <c r="I24" s="121"/>
    </row>
    <row r="25" customFormat="false" ht="15.75" hidden="false" customHeight="true" outlineLevel="0" collapsed="false">
      <c r="A25" s="110"/>
      <c r="B25" s="115" t="s">
        <v>65</v>
      </c>
      <c r="C25" s="116"/>
      <c r="D25" s="116"/>
      <c r="E25" s="116"/>
      <c r="F25" s="116"/>
      <c r="G25" s="117"/>
      <c r="H25" s="116"/>
      <c r="I25" s="116"/>
    </row>
    <row r="26" customFormat="false" ht="136.5" hidden="false" customHeight="true" outlineLevel="0" collapsed="false">
      <c r="A26" s="118" t="s">
        <v>354</v>
      </c>
      <c r="B26" s="118" t="s">
        <v>121</v>
      </c>
      <c r="C26" s="118" t="s">
        <v>355</v>
      </c>
      <c r="D26" s="118" t="s">
        <v>356</v>
      </c>
      <c r="E26" s="118" t="s">
        <v>328</v>
      </c>
      <c r="F26" s="119" t="s">
        <v>203</v>
      </c>
      <c r="G26" s="120" t="n">
        <v>46322</v>
      </c>
      <c r="H26" s="118" t="s">
        <v>221</v>
      </c>
      <c r="I26" s="121" t="s">
        <v>67</v>
      </c>
    </row>
    <row r="27" customFormat="false" ht="136.5" hidden="false" customHeight="true" outlineLevel="0" collapsed="false">
      <c r="A27" s="118" t="s">
        <v>357</v>
      </c>
      <c r="B27" s="118" t="s">
        <v>122</v>
      </c>
      <c r="C27" s="118" t="s">
        <v>358</v>
      </c>
      <c r="D27" s="118" t="s">
        <v>359</v>
      </c>
      <c r="E27" s="118" t="s">
        <v>328</v>
      </c>
      <c r="F27" s="119" t="s">
        <v>203</v>
      </c>
      <c r="G27" s="120" t="n">
        <v>46322</v>
      </c>
      <c r="H27" s="118" t="s">
        <v>221</v>
      </c>
      <c r="I27" s="121" t="s">
        <v>67</v>
      </c>
    </row>
    <row r="28" customFormat="false" ht="136.5" hidden="false" customHeight="true" outlineLevel="0" collapsed="false">
      <c r="A28" s="118" t="s">
        <v>360</v>
      </c>
      <c r="B28" s="118" t="s">
        <v>123</v>
      </c>
      <c r="C28" s="118" t="s">
        <v>361</v>
      </c>
      <c r="D28" s="118" t="s">
        <v>362</v>
      </c>
      <c r="E28" s="118" t="s">
        <v>328</v>
      </c>
      <c r="F28" s="119" t="s">
        <v>203</v>
      </c>
      <c r="G28" s="120" t="n">
        <v>46322</v>
      </c>
      <c r="H28" s="118" t="s">
        <v>221</v>
      </c>
      <c r="I28" s="121" t="s">
        <v>67</v>
      </c>
    </row>
    <row r="29" customFormat="false" ht="136.5" hidden="false" customHeight="true" outlineLevel="0" collapsed="false">
      <c r="A29" s="118" t="s">
        <v>363</v>
      </c>
      <c r="B29" s="118" t="s">
        <v>124</v>
      </c>
      <c r="C29" s="118" t="s">
        <v>364</v>
      </c>
      <c r="D29" s="118" t="s">
        <v>365</v>
      </c>
      <c r="E29" s="118" t="s">
        <v>328</v>
      </c>
      <c r="F29" s="119" t="s">
        <v>203</v>
      </c>
      <c r="G29" s="120" t="n">
        <v>46322</v>
      </c>
      <c r="H29" s="118" t="s">
        <v>221</v>
      </c>
      <c r="I29" s="121" t="s">
        <v>67</v>
      </c>
    </row>
    <row r="30" customFormat="false" ht="136.5" hidden="false" customHeight="true" outlineLevel="0" collapsed="false">
      <c r="A30" s="118" t="s">
        <v>366</v>
      </c>
      <c r="B30" s="118" t="s">
        <v>125</v>
      </c>
      <c r="C30" s="118" t="s">
        <v>367</v>
      </c>
      <c r="D30" s="118" t="s">
        <v>368</v>
      </c>
      <c r="E30" s="118" t="s">
        <v>328</v>
      </c>
      <c r="F30" s="119" t="s">
        <v>203</v>
      </c>
      <c r="G30" s="120" t="n">
        <v>46322</v>
      </c>
      <c r="H30" s="118" t="s">
        <v>228</v>
      </c>
      <c r="I30" s="121" t="s">
        <v>67</v>
      </c>
    </row>
    <row r="31" customFormat="false" ht="136.5" hidden="false" customHeight="true" outlineLevel="0" collapsed="false">
      <c r="A31" s="118" t="s">
        <v>369</v>
      </c>
      <c r="B31" s="118" t="s">
        <v>126</v>
      </c>
      <c r="C31" s="118" t="s">
        <v>370</v>
      </c>
      <c r="D31" s="118" t="s">
        <v>371</v>
      </c>
      <c r="E31" s="118" t="s">
        <v>328</v>
      </c>
      <c r="F31" s="119" t="s">
        <v>203</v>
      </c>
      <c r="G31" s="120" t="n">
        <v>46322</v>
      </c>
      <c r="H31" s="118" t="s">
        <v>228</v>
      </c>
      <c r="I31" s="121" t="s">
        <v>127</v>
      </c>
    </row>
    <row r="32" customFormat="false" ht="121.5" hidden="false" customHeight="true" outlineLevel="0" collapsed="false">
      <c r="A32" s="118" t="s">
        <v>372</v>
      </c>
      <c r="B32" s="118" t="s">
        <v>128</v>
      </c>
      <c r="C32" s="118" t="s">
        <v>373</v>
      </c>
      <c r="D32" s="118" t="s">
        <v>374</v>
      </c>
      <c r="E32" s="118" t="s">
        <v>328</v>
      </c>
      <c r="F32" s="119" t="s">
        <v>203</v>
      </c>
      <c r="G32" s="120" t="n">
        <v>46322</v>
      </c>
      <c r="H32" s="118" t="s">
        <v>221</v>
      </c>
      <c r="I32" s="121" t="s">
        <v>67</v>
      </c>
    </row>
    <row r="33" customFormat="false" ht="121.5" hidden="false" customHeight="true" outlineLevel="0" collapsed="false">
      <c r="A33" s="118" t="s">
        <v>375</v>
      </c>
      <c r="B33" s="118" t="s">
        <v>129</v>
      </c>
      <c r="C33" s="118" t="s">
        <v>376</v>
      </c>
      <c r="D33" s="118" t="s">
        <v>377</v>
      </c>
      <c r="E33" s="118" t="s">
        <v>328</v>
      </c>
      <c r="F33" s="119" t="s">
        <v>203</v>
      </c>
      <c r="G33" s="120" t="n">
        <v>46322</v>
      </c>
      <c r="H33" s="118" t="s">
        <v>221</v>
      </c>
      <c r="I33" s="121" t="s">
        <v>130</v>
      </c>
    </row>
    <row r="34" customFormat="false" ht="136.5" hidden="false" customHeight="true" outlineLevel="0" collapsed="false">
      <c r="A34" s="118" t="s">
        <v>378</v>
      </c>
      <c r="B34" s="118" t="s">
        <v>131</v>
      </c>
      <c r="C34" s="118" t="s">
        <v>379</v>
      </c>
      <c r="D34" s="118" t="s">
        <v>380</v>
      </c>
      <c r="E34" s="118" t="s">
        <v>328</v>
      </c>
      <c r="F34" s="119" t="s">
        <v>203</v>
      </c>
      <c r="G34" s="120" t="n">
        <v>46322</v>
      </c>
      <c r="H34" s="118" t="s">
        <v>228</v>
      </c>
      <c r="I34" s="121" t="s">
        <v>67</v>
      </c>
    </row>
    <row r="35" customFormat="false" ht="150.75" hidden="false" customHeight="true" outlineLevel="0" collapsed="false">
      <c r="A35" s="118" t="s">
        <v>381</v>
      </c>
      <c r="B35" s="118" t="s">
        <v>132</v>
      </c>
      <c r="C35" s="118" t="s">
        <v>382</v>
      </c>
      <c r="D35" s="118" t="s">
        <v>383</v>
      </c>
      <c r="E35" s="118" t="s">
        <v>328</v>
      </c>
      <c r="F35" s="119" t="s">
        <v>203</v>
      </c>
      <c r="G35" s="120" t="n">
        <v>46322</v>
      </c>
      <c r="H35" s="118" t="s">
        <v>221</v>
      </c>
      <c r="I35" s="121" t="s">
        <v>76</v>
      </c>
    </row>
    <row r="36" customFormat="false" ht="107.25" hidden="false" customHeight="true" outlineLevel="0" collapsed="false">
      <c r="A36" s="118" t="s">
        <v>384</v>
      </c>
      <c r="B36" s="118" t="s">
        <v>133</v>
      </c>
      <c r="C36" s="118" t="s">
        <v>385</v>
      </c>
      <c r="D36" s="118" t="s">
        <v>386</v>
      </c>
      <c r="E36" s="118" t="s">
        <v>328</v>
      </c>
      <c r="F36" s="119" t="s">
        <v>203</v>
      </c>
      <c r="G36" s="120" t="n">
        <v>46322</v>
      </c>
      <c r="H36" s="118" t="s">
        <v>228</v>
      </c>
      <c r="I36" s="121"/>
    </row>
    <row r="37" customFormat="false" ht="121.5" hidden="false" customHeight="true" outlineLevel="0" collapsed="false">
      <c r="A37" s="118" t="s">
        <v>387</v>
      </c>
      <c r="B37" s="118" t="s">
        <v>78</v>
      </c>
      <c r="C37" s="118" t="s">
        <v>388</v>
      </c>
      <c r="D37" s="118" t="s">
        <v>389</v>
      </c>
      <c r="E37" s="118" t="s">
        <v>328</v>
      </c>
      <c r="F37" s="119" t="s">
        <v>203</v>
      </c>
      <c r="G37" s="120" t="n">
        <v>46322</v>
      </c>
      <c r="H37" s="118" t="s">
        <v>228</v>
      </c>
      <c r="I37" s="121" t="s">
        <v>79</v>
      </c>
    </row>
    <row r="38" customFormat="false" ht="15.75" hidden="false" customHeight="true" outlineLevel="0" collapsed="false">
      <c r="A38" s="110"/>
      <c r="B38" s="111" t="s">
        <v>134</v>
      </c>
      <c r="C38" s="112"/>
      <c r="D38" s="113"/>
      <c r="E38" s="113"/>
      <c r="F38" s="113"/>
      <c r="G38" s="114"/>
      <c r="H38" s="113"/>
      <c r="I38" s="113"/>
    </row>
    <row r="39" customFormat="false" ht="15.75" hidden="false" customHeight="true" outlineLevel="0" collapsed="false">
      <c r="A39" s="110"/>
      <c r="B39" s="115" t="s">
        <v>135</v>
      </c>
      <c r="C39" s="116"/>
      <c r="D39" s="116"/>
      <c r="E39" s="116"/>
      <c r="F39" s="116"/>
      <c r="G39" s="117"/>
      <c r="H39" s="116"/>
      <c r="I39" s="116"/>
    </row>
    <row r="40" customFormat="false" ht="136.5" hidden="false" customHeight="true" outlineLevel="0" collapsed="false">
      <c r="A40" s="118" t="s">
        <v>390</v>
      </c>
      <c r="B40" s="118" t="s">
        <v>136</v>
      </c>
      <c r="C40" s="118" t="s">
        <v>391</v>
      </c>
      <c r="D40" s="118" t="s">
        <v>392</v>
      </c>
      <c r="E40" s="118" t="s">
        <v>337</v>
      </c>
      <c r="F40" s="119" t="s">
        <v>203</v>
      </c>
      <c r="G40" s="120" t="n">
        <v>46322</v>
      </c>
      <c r="H40" s="118" t="s">
        <v>221</v>
      </c>
      <c r="I40" s="121"/>
    </row>
    <row r="41" customFormat="false" ht="121.5" hidden="false" customHeight="true" outlineLevel="0" collapsed="false">
      <c r="A41" s="118" t="s">
        <v>393</v>
      </c>
      <c r="B41" s="118" t="s">
        <v>137</v>
      </c>
      <c r="C41" s="118" t="s">
        <v>394</v>
      </c>
      <c r="D41" s="118" t="s">
        <v>395</v>
      </c>
      <c r="E41" s="118" t="s">
        <v>328</v>
      </c>
      <c r="F41" s="119" t="s">
        <v>203</v>
      </c>
      <c r="G41" s="120" t="n">
        <v>46322</v>
      </c>
      <c r="H41" s="118" t="s">
        <v>228</v>
      </c>
      <c r="I41" s="121" t="s">
        <v>67</v>
      </c>
    </row>
    <row r="42" customFormat="false" ht="107.25" hidden="false" customHeight="true" outlineLevel="0" collapsed="false">
      <c r="A42" s="118" t="s">
        <v>396</v>
      </c>
      <c r="B42" s="118" t="s">
        <v>82</v>
      </c>
      <c r="C42" s="118" t="s">
        <v>397</v>
      </c>
      <c r="D42" s="118" t="s">
        <v>398</v>
      </c>
      <c r="E42" s="118" t="s">
        <v>328</v>
      </c>
      <c r="F42" s="119" t="s">
        <v>203</v>
      </c>
      <c r="G42" s="120" t="n">
        <v>46322</v>
      </c>
      <c r="H42" s="118" t="s">
        <v>228</v>
      </c>
      <c r="I42" s="121"/>
    </row>
    <row r="43" customFormat="false" ht="107.25" hidden="false" customHeight="true" outlineLevel="0" collapsed="false">
      <c r="A43" s="118" t="s">
        <v>399</v>
      </c>
      <c r="B43" s="118" t="s">
        <v>83</v>
      </c>
      <c r="C43" s="118" t="s">
        <v>400</v>
      </c>
      <c r="D43" s="118" t="s">
        <v>401</v>
      </c>
      <c r="E43" s="118" t="s">
        <v>323</v>
      </c>
      <c r="F43" s="119" t="s">
        <v>203</v>
      </c>
      <c r="G43" s="120" t="n">
        <v>46322</v>
      </c>
      <c r="H43" s="118" t="s">
        <v>221</v>
      </c>
      <c r="I43" s="121"/>
    </row>
    <row r="44" customFormat="false" ht="107.25" hidden="false" customHeight="true" outlineLevel="0" collapsed="false">
      <c r="A44" s="118" t="s">
        <v>402</v>
      </c>
      <c r="B44" s="118" t="s">
        <v>84</v>
      </c>
      <c r="C44" s="118" t="s">
        <v>403</v>
      </c>
      <c r="D44" s="118" t="s">
        <v>404</v>
      </c>
      <c r="E44" s="118" t="s">
        <v>328</v>
      </c>
      <c r="F44" s="119" t="s">
        <v>203</v>
      </c>
      <c r="G44" s="120" t="n">
        <v>46322</v>
      </c>
      <c r="H44" s="118" t="s">
        <v>228</v>
      </c>
      <c r="I44" s="121"/>
    </row>
    <row r="45" customFormat="false" ht="107.25" hidden="false" customHeight="true" outlineLevel="0" collapsed="false">
      <c r="A45" s="118" t="s">
        <v>405</v>
      </c>
      <c r="B45" s="118" t="s">
        <v>138</v>
      </c>
      <c r="C45" s="118" t="s">
        <v>406</v>
      </c>
      <c r="D45" s="118" t="s">
        <v>407</v>
      </c>
      <c r="E45" s="118" t="s">
        <v>328</v>
      </c>
      <c r="F45" s="119" t="s">
        <v>203</v>
      </c>
      <c r="G45" s="120" t="n">
        <v>46322</v>
      </c>
      <c r="H45" s="118" t="s">
        <v>221</v>
      </c>
      <c r="I45" s="121"/>
    </row>
    <row r="46" customFormat="false" ht="107.25" hidden="false" customHeight="true" outlineLevel="0" collapsed="false">
      <c r="A46" s="118" t="s">
        <v>408</v>
      </c>
      <c r="B46" s="118" t="s">
        <v>139</v>
      </c>
      <c r="C46" s="118" t="s">
        <v>409</v>
      </c>
      <c r="D46" s="118" t="s">
        <v>410</v>
      </c>
      <c r="E46" s="118" t="s">
        <v>337</v>
      </c>
      <c r="F46" s="119" t="s">
        <v>203</v>
      </c>
      <c r="G46" s="120" t="n">
        <v>46322</v>
      </c>
      <c r="H46" s="118" t="s">
        <v>228</v>
      </c>
      <c r="I46" s="121"/>
    </row>
    <row r="47" customFormat="false" ht="121.5" hidden="false" customHeight="true" outlineLevel="0" collapsed="false">
      <c r="A47" s="118" t="s">
        <v>411</v>
      </c>
      <c r="B47" s="118" t="s">
        <v>140</v>
      </c>
      <c r="C47" s="118" t="s">
        <v>412</v>
      </c>
      <c r="D47" s="118" t="s">
        <v>413</v>
      </c>
      <c r="E47" s="118" t="s">
        <v>328</v>
      </c>
      <c r="F47" s="119" t="s">
        <v>197</v>
      </c>
      <c r="G47" s="120" t="n">
        <v>46322</v>
      </c>
      <c r="H47" s="118" t="s">
        <v>228</v>
      </c>
      <c r="I47" s="121"/>
    </row>
    <row r="48" customFormat="false" ht="121.5" hidden="false" customHeight="true" outlineLevel="0" collapsed="false">
      <c r="A48" s="118" t="s">
        <v>414</v>
      </c>
      <c r="B48" s="118" t="s">
        <v>141</v>
      </c>
      <c r="C48" s="118" t="s">
        <v>415</v>
      </c>
      <c r="D48" s="118" t="s">
        <v>416</v>
      </c>
      <c r="E48" s="118" t="s">
        <v>328</v>
      </c>
      <c r="F48" s="119" t="s">
        <v>197</v>
      </c>
      <c r="G48" s="120" t="n">
        <v>46322</v>
      </c>
      <c r="H48" s="118" t="s">
        <v>228</v>
      </c>
      <c r="I48" s="121" t="s">
        <v>67</v>
      </c>
    </row>
    <row r="49" customFormat="false" ht="107.25" hidden="false" customHeight="true" outlineLevel="0" collapsed="false">
      <c r="A49" s="118" t="s">
        <v>417</v>
      </c>
      <c r="B49" s="118" t="s">
        <v>142</v>
      </c>
      <c r="C49" s="118" t="s">
        <v>418</v>
      </c>
      <c r="D49" s="118" t="s">
        <v>419</v>
      </c>
      <c r="E49" s="118" t="s">
        <v>328</v>
      </c>
      <c r="F49" s="119" t="s">
        <v>200</v>
      </c>
      <c r="G49" s="120" t="n">
        <v>46322</v>
      </c>
      <c r="H49" s="118" t="s">
        <v>228</v>
      </c>
      <c r="I49" s="121" t="s">
        <v>420</v>
      </c>
    </row>
    <row r="50" customFormat="false" ht="15.75" hidden="false" customHeight="true" outlineLevel="0" collapsed="false">
      <c r="A50" s="110"/>
      <c r="B50" s="115" t="s">
        <v>86</v>
      </c>
      <c r="C50" s="116"/>
      <c r="D50" s="116"/>
      <c r="E50" s="116"/>
      <c r="F50" s="116"/>
      <c r="G50" s="117"/>
      <c r="H50" s="116"/>
      <c r="I50" s="116"/>
    </row>
    <row r="51" customFormat="false" ht="136.5" hidden="false" customHeight="true" outlineLevel="0" collapsed="false">
      <c r="A51" s="118" t="s">
        <v>421</v>
      </c>
      <c r="B51" s="118" t="s">
        <v>143</v>
      </c>
      <c r="C51" s="118" t="s">
        <v>422</v>
      </c>
      <c r="D51" s="118" t="s">
        <v>423</v>
      </c>
      <c r="E51" s="118" t="s">
        <v>337</v>
      </c>
      <c r="F51" s="119" t="s">
        <v>197</v>
      </c>
      <c r="G51" s="120" t="n">
        <v>46322</v>
      </c>
      <c r="H51" s="118" t="s">
        <v>228</v>
      </c>
      <c r="I51" s="121"/>
    </row>
    <row r="52" customFormat="false" ht="107.25" hidden="false" customHeight="true" outlineLevel="0" collapsed="false">
      <c r="A52" s="118" t="s">
        <v>424</v>
      </c>
      <c r="B52" s="118" t="s">
        <v>88</v>
      </c>
      <c r="C52" s="118" t="s">
        <v>425</v>
      </c>
      <c r="D52" s="118" t="s">
        <v>426</v>
      </c>
      <c r="E52" s="118" t="s">
        <v>328</v>
      </c>
      <c r="F52" s="119" t="s">
        <v>197</v>
      </c>
      <c r="G52" s="120" t="n">
        <v>46322</v>
      </c>
      <c r="H52" s="118" t="s">
        <v>228</v>
      </c>
      <c r="I52" s="121"/>
    </row>
    <row r="53" customFormat="false" ht="107.25" hidden="false" customHeight="true" outlineLevel="0" collapsed="false">
      <c r="A53" s="118" t="s">
        <v>427</v>
      </c>
      <c r="B53" s="118" t="s">
        <v>144</v>
      </c>
      <c r="C53" s="118" t="s">
        <v>428</v>
      </c>
      <c r="D53" s="118" t="s">
        <v>429</v>
      </c>
      <c r="E53" s="118" t="s">
        <v>328</v>
      </c>
      <c r="F53" s="119" t="s">
        <v>197</v>
      </c>
      <c r="G53" s="120" t="n">
        <v>46322</v>
      </c>
      <c r="H53" s="118" t="s">
        <v>228</v>
      </c>
      <c r="I53" s="121" t="s">
        <v>67</v>
      </c>
    </row>
    <row r="54" customFormat="false" ht="15.75" hidden="false" customHeight="true" outlineLevel="0" collapsed="false">
      <c r="A54" s="110"/>
      <c r="B54" s="111" t="s">
        <v>145</v>
      </c>
      <c r="C54" s="112"/>
      <c r="D54" s="113"/>
      <c r="E54" s="113"/>
      <c r="F54" s="113"/>
      <c r="G54" s="114"/>
      <c r="H54" s="113"/>
      <c r="I54" s="113"/>
    </row>
    <row r="55" customFormat="false" ht="15.75" hidden="false" customHeight="true" outlineLevel="0" collapsed="false">
      <c r="A55" s="110"/>
      <c r="B55" s="115" t="s">
        <v>146</v>
      </c>
      <c r="C55" s="116"/>
      <c r="D55" s="116"/>
      <c r="E55" s="116"/>
      <c r="F55" s="116"/>
      <c r="G55" s="117"/>
      <c r="H55" s="116"/>
      <c r="I55" s="116"/>
    </row>
    <row r="56" customFormat="false" ht="107.25" hidden="false" customHeight="true" outlineLevel="0" collapsed="false">
      <c r="A56" s="118" t="s">
        <v>430</v>
      </c>
      <c r="B56" s="118" t="s">
        <v>147</v>
      </c>
      <c r="C56" s="118" t="s">
        <v>431</v>
      </c>
      <c r="D56" s="118" t="s">
        <v>432</v>
      </c>
      <c r="E56" s="118" t="s">
        <v>337</v>
      </c>
      <c r="F56" s="119" t="s">
        <v>197</v>
      </c>
      <c r="G56" s="120" t="n">
        <v>46322</v>
      </c>
      <c r="H56" s="118" t="s">
        <v>228</v>
      </c>
      <c r="I56" s="121"/>
    </row>
    <row r="57" customFormat="false" ht="136.5" hidden="false" customHeight="true" outlineLevel="0" collapsed="false">
      <c r="A57" s="118" t="s">
        <v>433</v>
      </c>
      <c r="B57" s="118" t="s">
        <v>148</v>
      </c>
      <c r="C57" s="118" t="s">
        <v>434</v>
      </c>
      <c r="D57" s="118" t="s">
        <v>435</v>
      </c>
      <c r="E57" s="118" t="s">
        <v>387</v>
      </c>
      <c r="F57" s="119" t="s">
        <v>197</v>
      </c>
      <c r="G57" s="120" t="n">
        <v>46322</v>
      </c>
      <c r="H57" s="118" t="s">
        <v>228</v>
      </c>
      <c r="I57" s="121"/>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sheetData>
  <mergeCells count="6">
    <mergeCell ref="B2:G2"/>
    <mergeCell ref="B3:G3"/>
    <mergeCell ref="B4:G4"/>
    <mergeCell ref="B5:G5"/>
    <mergeCell ref="A10:I10"/>
    <mergeCell ref="A11:I11"/>
  </mergeCells>
  <conditionalFormatting sqref="F12:F57">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"Blocked"</formula>
    </cfRule>
    <cfRule type="cellIs" priority="6" operator="equal" aboveAverage="0" equalAverage="0" bottom="0" percent="0" rank="0" text="" dxfId="4">
      <formula>"Skipped"</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57"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15.63"/>
    <col collapsed="false" customWidth="true" hidden="false" outlineLevel="0" max="2" min="2" style="1" width="46.88"/>
    <col collapsed="false" customWidth="true" hidden="false" outlineLevel="0" max="4" min="3" style="1" width="41.25"/>
    <col collapsed="false" customWidth="true" hidden="false" outlineLevel="0" max="5" min="5" style="1" width="20.38"/>
    <col collapsed="false" customWidth="true" hidden="false" outlineLevel="0" max="7" min="6" style="1" width="13"/>
    <col collapsed="false" customWidth="true" hidden="false" outlineLevel="0" max="8" min="8" style="1" width="11"/>
    <col collapsed="false" customWidth="true" hidden="false" outlineLevel="0" max="9" min="9" style="1" width="28"/>
  </cols>
  <sheetData>
    <row r="1" customFormat="false" ht="15.75" hidden="false" customHeight="true" outlineLevel="0" collapsed="false">
      <c r="A1" s="86" t="s">
        <v>194</v>
      </c>
      <c r="B1" s="87"/>
      <c r="C1" s="87"/>
      <c r="D1" s="88"/>
      <c r="E1" s="89"/>
      <c r="F1" s="89"/>
      <c r="G1" s="90"/>
      <c r="H1" s="90"/>
      <c r="I1" s="88"/>
      <c r="J1" s="88"/>
      <c r="K1" s="89"/>
      <c r="L1" s="89"/>
      <c r="M1" s="89"/>
      <c r="N1" s="89"/>
      <c r="O1" s="89"/>
      <c r="P1" s="89"/>
      <c r="Q1" s="89"/>
      <c r="R1" s="89"/>
      <c r="S1" s="89"/>
      <c r="T1" s="89"/>
      <c r="U1" s="89"/>
      <c r="V1" s="89"/>
      <c r="W1" s="89"/>
      <c r="X1" s="89"/>
      <c r="Y1" s="89"/>
      <c r="Z1" s="89"/>
      <c r="AA1" s="88"/>
      <c r="AB1" s="88"/>
    </row>
    <row r="2" customFormat="false" ht="15.75" hidden="false" customHeight="true" outlineLevel="0" collapsed="false">
      <c r="A2" s="91" t="s">
        <v>195</v>
      </c>
      <c r="B2" s="92" t="s">
        <v>436</v>
      </c>
      <c r="C2" s="92"/>
      <c r="D2" s="92"/>
      <c r="E2" s="92"/>
      <c r="F2" s="92"/>
      <c r="G2" s="92"/>
      <c r="H2" s="93"/>
      <c r="I2" s="94" t="s">
        <v>197</v>
      </c>
      <c r="J2" s="95"/>
      <c r="K2" s="89"/>
      <c r="L2" s="89"/>
      <c r="M2" s="89"/>
      <c r="N2" s="89"/>
      <c r="O2" s="89"/>
      <c r="P2" s="89"/>
      <c r="Q2" s="89"/>
      <c r="R2" s="89"/>
      <c r="S2" s="89"/>
      <c r="T2" s="89"/>
      <c r="U2" s="89"/>
      <c r="V2" s="89"/>
      <c r="W2" s="89"/>
      <c r="X2" s="89"/>
      <c r="Y2" s="89"/>
      <c r="Z2" s="89"/>
      <c r="AA2" s="88"/>
      <c r="AB2" s="88"/>
    </row>
    <row r="3" customFormat="false" ht="15.75" hidden="false" customHeight="true" outlineLevel="0" collapsed="false">
      <c r="A3" s="91" t="s">
        <v>198</v>
      </c>
      <c r="B3" s="92" t="s">
        <v>437</v>
      </c>
      <c r="C3" s="92"/>
      <c r="D3" s="92"/>
      <c r="E3" s="92"/>
      <c r="F3" s="92"/>
      <c r="G3" s="92"/>
      <c r="H3" s="93"/>
      <c r="I3" s="94" t="s">
        <v>200</v>
      </c>
      <c r="J3" s="95"/>
      <c r="K3" s="89"/>
      <c r="L3" s="89"/>
      <c r="M3" s="89"/>
      <c r="N3" s="89"/>
      <c r="O3" s="89"/>
      <c r="P3" s="89"/>
      <c r="Q3" s="89"/>
      <c r="R3" s="89"/>
      <c r="S3" s="89"/>
      <c r="T3" s="89"/>
      <c r="U3" s="89"/>
      <c r="V3" s="89"/>
      <c r="W3" s="89"/>
      <c r="X3" s="89"/>
      <c r="Y3" s="89"/>
      <c r="Z3" s="89"/>
      <c r="AA3" s="88"/>
      <c r="AB3" s="88"/>
    </row>
    <row r="4" customFormat="false" ht="15.75" hidden="false" customHeight="true" outlineLevel="0" collapsed="false">
      <c r="A4" s="91" t="s">
        <v>201</v>
      </c>
      <c r="B4" s="96" t="s">
        <v>438</v>
      </c>
      <c r="C4" s="96"/>
      <c r="D4" s="96"/>
      <c r="E4" s="96"/>
      <c r="F4" s="96"/>
      <c r="G4" s="96"/>
      <c r="H4" s="93"/>
      <c r="I4" s="94" t="s">
        <v>203</v>
      </c>
      <c r="J4" s="95"/>
      <c r="K4" s="89"/>
      <c r="L4" s="89"/>
      <c r="M4" s="89"/>
      <c r="N4" s="89"/>
      <c r="O4" s="89"/>
      <c r="P4" s="89"/>
      <c r="Q4" s="89"/>
      <c r="R4" s="89"/>
      <c r="S4" s="89"/>
      <c r="T4" s="89"/>
      <c r="U4" s="89"/>
      <c r="V4" s="89"/>
      <c r="W4" s="89"/>
      <c r="X4" s="89"/>
      <c r="Y4" s="89"/>
      <c r="Z4" s="89"/>
      <c r="AA4" s="88"/>
      <c r="AB4" s="88"/>
    </row>
    <row r="5" customFormat="false" ht="15.75" hidden="false" customHeight="true" outlineLevel="0" collapsed="false">
      <c r="A5" s="91" t="s">
        <v>204</v>
      </c>
      <c r="B5" s="92" t="s">
        <v>4</v>
      </c>
      <c r="C5" s="92"/>
      <c r="D5" s="92"/>
      <c r="E5" s="92"/>
      <c r="F5" s="92"/>
      <c r="G5" s="92"/>
      <c r="H5" s="93"/>
      <c r="I5" s="94" t="s">
        <v>205</v>
      </c>
      <c r="J5" s="95"/>
      <c r="K5" s="89"/>
      <c r="L5" s="89"/>
      <c r="M5" s="89"/>
      <c r="N5" s="89"/>
      <c r="O5" s="89"/>
      <c r="P5" s="89"/>
      <c r="Q5" s="89"/>
      <c r="R5" s="89"/>
      <c r="S5" s="89"/>
      <c r="T5" s="89"/>
      <c r="U5" s="89"/>
      <c r="V5" s="89"/>
      <c r="W5" s="89"/>
      <c r="X5" s="89"/>
      <c r="Y5" s="89"/>
      <c r="Z5" s="89"/>
      <c r="AA5" s="88"/>
      <c r="AB5" s="88"/>
    </row>
    <row r="6" customFormat="false" ht="15.75" hidden="false" customHeight="true" outlineLevel="0" collapsed="false">
      <c r="A6" s="97" t="s">
        <v>197</v>
      </c>
      <c r="B6" s="97" t="s">
        <v>200</v>
      </c>
      <c r="C6" s="97" t="s">
        <v>203</v>
      </c>
      <c r="D6" s="97" t="s">
        <v>205</v>
      </c>
      <c r="E6" s="97" t="s">
        <v>206</v>
      </c>
      <c r="F6" s="97" t="s">
        <v>207</v>
      </c>
      <c r="G6" s="98"/>
      <c r="H6" s="93"/>
      <c r="I6" s="94" t="s">
        <v>206</v>
      </c>
      <c r="J6" s="95"/>
      <c r="K6" s="89"/>
      <c r="L6" s="89"/>
      <c r="M6" s="89"/>
      <c r="N6" s="89"/>
      <c r="O6" s="89"/>
      <c r="P6" s="89"/>
      <c r="Q6" s="89"/>
      <c r="R6" s="89"/>
      <c r="S6" s="89"/>
      <c r="T6" s="89"/>
      <c r="U6" s="89"/>
      <c r="V6" s="89"/>
      <c r="W6" s="89"/>
      <c r="X6" s="89"/>
      <c r="Y6" s="89"/>
      <c r="Z6" s="89"/>
      <c r="AA6" s="88"/>
      <c r="AB6" s="88"/>
    </row>
    <row r="7" customFormat="false" ht="15.75" hidden="false" customHeight="true" outlineLevel="0" collapsed="false">
      <c r="A7" s="99" t="n">
        <f aca="false">COUNTIF($F$12:$F$50,"Pass")</f>
        <v>23</v>
      </c>
      <c r="B7" s="99" t="n">
        <f aca="false">COUNTIF($F$12:$F$50,"Fail")</f>
        <v>5</v>
      </c>
      <c r="C7" s="99" t="n">
        <f aca="false">COUNTIF($F$12:$F$50,"Untested")</f>
        <v>0</v>
      </c>
      <c r="D7" s="99" t="n">
        <f aca="false">COUNTIF($F$12:$F$50,"Blocked")</f>
        <v>0</v>
      </c>
      <c r="E7" s="99" t="n">
        <f aca="false">COUNTIF($F$12:$F$50,"Skipped")</f>
        <v>0</v>
      </c>
      <c r="F7" s="99" t="n">
        <f aca="false">COUNTIF($A$12:$A$50,"T-F12-*")</f>
        <v>28</v>
      </c>
      <c r="G7" s="98"/>
      <c r="H7" s="93"/>
      <c r="I7" s="94" t="s">
        <v>208</v>
      </c>
      <c r="J7" s="95"/>
      <c r="K7" s="89"/>
      <c r="L7" s="89"/>
      <c r="M7" s="89"/>
      <c r="N7" s="89"/>
      <c r="O7" s="89"/>
      <c r="P7" s="89"/>
      <c r="Q7" s="89"/>
      <c r="R7" s="89"/>
      <c r="S7" s="89"/>
      <c r="T7" s="89"/>
      <c r="U7" s="89"/>
      <c r="V7" s="89"/>
      <c r="W7" s="89"/>
      <c r="X7" s="89"/>
      <c r="Y7" s="89"/>
      <c r="Z7" s="89"/>
      <c r="AA7" s="88"/>
      <c r="AB7" s="88"/>
    </row>
    <row r="8" customFormat="false" ht="15.75" hidden="false" customHeight="true" outlineLevel="0" collapsed="false">
      <c r="A8" s="100"/>
      <c r="B8" s="101"/>
      <c r="C8" s="101"/>
      <c r="D8" s="101"/>
      <c r="E8" s="101"/>
      <c r="F8" s="101"/>
      <c r="G8" s="102"/>
      <c r="H8" s="101"/>
      <c r="I8" s="101"/>
      <c r="J8" s="101"/>
      <c r="K8" s="101"/>
      <c r="L8" s="101"/>
      <c r="M8" s="101"/>
      <c r="N8" s="101"/>
      <c r="O8" s="101"/>
      <c r="P8" s="101"/>
      <c r="Q8" s="101"/>
      <c r="R8" s="101"/>
      <c r="S8" s="101"/>
      <c r="T8" s="101"/>
      <c r="U8" s="101"/>
      <c r="V8" s="101"/>
      <c r="W8" s="101"/>
      <c r="X8" s="101"/>
      <c r="Y8" s="101"/>
      <c r="Z8" s="103"/>
      <c r="AA8" s="103"/>
      <c r="AB8" s="103"/>
    </row>
    <row r="9" customFormat="false" ht="15.75" hidden="false" customHeight="true" outlineLevel="0" collapsed="false">
      <c r="A9" s="104" t="s">
        <v>209</v>
      </c>
      <c r="B9" s="104" t="s">
        <v>210</v>
      </c>
      <c r="C9" s="104" t="s">
        <v>211</v>
      </c>
      <c r="D9" s="105" t="s">
        <v>212</v>
      </c>
      <c r="E9" s="104" t="s">
        <v>213</v>
      </c>
      <c r="F9" s="104" t="s">
        <v>214</v>
      </c>
      <c r="G9" s="106" t="s">
        <v>215</v>
      </c>
      <c r="H9" s="104" t="s">
        <v>216</v>
      </c>
      <c r="I9" s="104" t="s">
        <v>46</v>
      </c>
      <c r="J9" s="101"/>
      <c r="K9" s="101"/>
      <c r="L9" s="101"/>
      <c r="M9" s="101"/>
      <c r="N9" s="101"/>
      <c r="O9" s="101"/>
      <c r="P9" s="101"/>
      <c r="Q9" s="101"/>
      <c r="R9" s="101"/>
      <c r="S9" s="101"/>
      <c r="T9" s="101"/>
      <c r="U9" s="101"/>
      <c r="V9" s="101"/>
      <c r="W9" s="101"/>
      <c r="X9" s="101"/>
      <c r="Y9" s="101"/>
      <c r="Z9" s="107"/>
      <c r="AA9" s="107"/>
      <c r="AB9" s="107"/>
    </row>
    <row r="10" customFormat="false" ht="15.75" hidden="false" customHeight="true" outlineLevel="0" collapsed="false">
      <c r="A10" s="108" t="s">
        <v>217</v>
      </c>
      <c r="B10" s="108"/>
      <c r="C10" s="108"/>
      <c r="D10" s="108"/>
      <c r="E10" s="108"/>
      <c r="F10" s="108"/>
      <c r="G10" s="108"/>
      <c r="H10" s="108"/>
      <c r="I10" s="108"/>
      <c r="J10" s="101"/>
      <c r="K10" s="101"/>
      <c r="L10" s="101"/>
      <c r="M10" s="101"/>
      <c r="N10" s="101"/>
      <c r="O10" s="101"/>
      <c r="P10" s="101"/>
      <c r="Q10" s="101"/>
      <c r="R10" s="101"/>
      <c r="S10" s="101"/>
      <c r="T10" s="101"/>
      <c r="U10" s="101"/>
      <c r="V10" s="101"/>
      <c r="W10" s="101"/>
      <c r="X10" s="101"/>
      <c r="Y10" s="101"/>
      <c r="Z10" s="101"/>
      <c r="AA10" s="101"/>
      <c r="AB10" s="101"/>
    </row>
    <row r="11" customFormat="false" ht="15.75" hidden="false" customHeight="true" outlineLevel="0" collapsed="false">
      <c r="A11" s="109"/>
      <c r="B11" s="109"/>
      <c r="C11" s="109"/>
      <c r="D11" s="109"/>
      <c r="E11" s="109"/>
      <c r="F11" s="109"/>
      <c r="G11" s="109"/>
      <c r="H11" s="109"/>
      <c r="I11" s="109"/>
      <c r="J11" s="101"/>
      <c r="K11" s="101"/>
      <c r="L11" s="101"/>
      <c r="M11" s="101"/>
      <c r="N11" s="101"/>
      <c r="O11" s="101"/>
      <c r="P11" s="101"/>
      <c r="Q11" s="101"/>
      <c r="R11" s="101"/>
      <c r="S11" s="101"/>
      <c r="T11" s="101"/>
      <c r="U11" s="101"/>
      <c r="V11" s="101"/>
      <c r="W11" s="101"/>
      <c r="X11" s="101"/>
      <c r="Y11" s="101"/>
      <c r="Z11" s="101"/>
      <c r="AA11" s="101"/>
      <c r="AB11" s="101"/>
    </row>
    <row r="12" customFormat="false" ht="15.75" hidden="false" customHeight="true" outlineLevel="0" collapsed="false">
      <c r="A12" s="110"/>
      <c r="B12" s="111" t="s">
        <v>150</v>
      </c>
      <c r="C12" s="112"/>
      <c r="D12" s="113"/>
      <c r="E12" s="113"/>
      <c r="F12" s="113"/>
      <c r="G12" s="114"/>
      <c r="H12" s="113"/>
      <c r="I12" s="113"/>
    </row>
    <row r="13" customFormat="false" ht="15.75" hidden="false" customHeight="true" outlineLevel="0" collapsed="false">
      <c r="A13" s="110"/>
      <c r="B13" s="115" t="s">
        <v>151</v>
      </c>
      <c r="C13" s="116"/>
      <c r="D13" s="116"/>
      <c r="E13" s="116"/>
      <c r="F13" s="116"/>
      <c r="G13" s="117"/>
      <c r="H13" s="116"/>
      <c r="I13" s="116"/>
    </row>
    <row r="14" customFormat="false" ht="136.5" hidden="false" customHeight="true" outlineLevel="0" collapsed="false">
      <c r="A14" s="118" t="s">
        <v>439</v>
      </c>
      <c r="B14" s="118" t="s">
        <v>152</v>
      </c>
      <c r="C14" s="118" t="s">
        <v>440</v>
      </c>
      <c r="D14" s="118" t="s">
        <v>441</v>
      </c>
      <c r="E14" s="118" t="s">
        <v>340</v>
      </c>
      <c r="F14" s="119" t="s">
        <v>197</v>
      </c>
      <c r="G14" s="120" t="n">
        <v>46322</v>
      </c>
      <c r="H14" s="118" t="s">
        <v>221</v>
      </c>
      <c r="I14" s="121"/>
    </row>
    <row r="15" customFormat="false" ht="136.5" hidden="false" customHeight="true" outlineLevel="0" collapsed="false">
      <c r="A15" s="118" t="s">
        <v>442</v>
      </c>
      <c r="B15" s="118" t="s">
        <v>153</v>
      </c>
      <c r="C15" s="118" t="s">
        <v>443</v>
      </c>
      <c r="D15" s="118" t="s">
        <v>444</v>
      </c>
      <c r="E15" s="118" t="s">
        <v>439</v>
      </c>
      <c r="F15" s="119" t="s">
        <v>197</v>
      </c>
      <c r="G15" s="120" t="n">
        <v>46322</v>
      </c>
      <c r="H15" s="118" t="s">
        <v>228</v>
      </c>
      <c r="I15" s="121"/>
    </row>
    <row r="16" customFormat="false" ht="15.75" hidden="false" customHeight="true" outlineLevel="0" collapsed="false">
      <c r="A16" s="110"/>
      <c r="B16" s="111" t="s">
        <v>154</v>
      </c>
      <c r="C16" s="112"/>
      <c r="D16" s="113"/>
      <c r="E16" s="113"/>
      <c r="F16" s="113"/>
      <c r="G16" s="114"/>
      <c r="H16" s="113"/>
      <c r="I16" s="113"/>
    </row>
    <row r="17" customFormat="false" ht="15.75" hidden="false" customHeight="true" outlineLevel="0" collapsed="false">
      <c r="A17" s="110"/>
      <c r="B17" s="115" t="s">
        <v>155</v>
      </c>
      <c r="C17" s="116"/>
      <c r="D17" s="116"/>
      <c r="E17" s="116"/>
      <c r="F17" s="116"/>
      <c r="G17" s="117"/>
      <c r="H17" s="116"/>
      <c r="I17" s="116"/>
    </row>
    <row r="18" customFormat="false" ht="150.75" hidden="false" customHeight="true" outlineLevel="0" collapsed="false">
      <c r="A18" s="118" t="s">
        <v>445</v>
      </c>
      <c r="B18" s="118" t="s">
        <v>156</v>
      </c>
      <c r="C18" s="118" t="s">
        <v>446</v>
      </c>
      <c r="D18" s="118" t="s">
        <v>447</v>
      </c>
      <c r="E18" s="118" t="s">
        <v>439</v>
      </c>
      <c r="F18" s="119" t="s">
        <v>197</v>
      </c>
      <c r="G18" s="120" t="n">
        <v>46322</v>
      </c>
      <c r="H18" s="118" t="s">
        <v>221</v>
      </c>
      <c r="I18" s="121"/>
    </row>
    <row r="19" customFormat="false" ht="136.5" hidden="false" customHeight="true" outlineLevel="0" collapsed="false">
      <c r="A19" s="118" t="s">
        <v>448</v>
      </c>
      <c r="B19" s="118" t="s">
        <v>157</v>
      </c>
      <c r="C19" s="118" t="s">
        <v>449</v>
      </c>
      <c r="D19" s="118" t="s">
        <v>450</v>
      </c>
      <c r="E19" s="118" t="s">
        <v>439</v>
      </c>
      <c r="F19" s="119" t="s">
        <v>197</v>
      </c>
      <c r="G19" s="120" t="n">
        <v>46322</v>
      </c>
      <c r="H19" s="118" t="s">
        <v>228</v>
      </c>
      <c r="I19" s="121"/>
    </row>
    <row r="20" customFormat="false" ht="150.75" hidden="false" customHeight="true" outlineLevel="0" collapsed="false">
      <c r="A20" s="118" t="s">
        <v>451</v>
      </c>
      <c r="B20" s="118" t="s">
        <v>158</v>
      </c>
      <c r="C20" s="118" t="s">
        <v>452</v>
      </c>
      <c r="D20" s="118" t="s">
        <v>453</v>
      </c>
      <c r="E20" s="118" t="s">
        <v>439</v>
      </c>
      <c r="F20" s="119" t="s">
        <v>197</v>
      </c>
      <c r="G20" s="120" t="n">
        <v>46322</v>
      </c>
      <c r="H20" s="118" t="s">
        <v>221</v>
      </c>
      <c r="I20" s="121"/>
    </row>
    <row r="21" customFormat="false" ht="150.75" hidden="false" customHeight="true" outlineLevel="0" collapsed="false">
      <c r="A21" s="118" t="s">
        <v>454</v>
      </c>
      <c r="B21" s="118" t="s">
        <v>159</v>
      </c>
      <c r="C21" s="118" t="s">
        <v>455</v>
      </c>
      <c r="D21" s="118" t="s">
        <v>456</v>
      </c>
      <c r="E21" s="118" t="s">
        <v>445</v>
      </c>
      <c r="F21" s="119" t="s">
        <v>197</v>
      </c>
      <c r="G21" s="120" t="n">
        <v>46322</v>
      </c>
      <c r="H21" s="118" t="s">
        <v>228</v>
      </c>
      <c r="I21" s="121"/>
    </row>
    <row r="22" customFormat="false" ht="15.75" hidden="false" customHeight="true" outlineLevel="0" collapsed="false">
      <c r="A22" s="110"/>
      <c r="B22" s="115" t="s">
        <v>160</v>
      </c>
      <c r="C22" s="116"/>
      <c r="D22" s="116"/>
      <c r="E22" s="116"/>
      <c r="F22" s="116"/>
      <c r="G22" s="117"/>
      <c r="H22" s="116"/>
      <c r="I22" s="116"/>
    </row>
    <row r="23" customFormat="false" ht="194.25" hidden="false" customHeight="true" outlineLevel="0" collapsed="false">
      <c r="A23" s="118" t="s">
        <v>457</v>
      </c>
      <c r="B23" s="118" t="s">
        <v>161</v>
      </c>
      <c r="C23" s="118" t="s">
        <v>458</v>
      </c>
      <c r="D23" s="118" t="s">
        <v>459</v>
      </c>
      <c r="E23" s="118" t="s">
        <v>445</v>
      </c>
      <c r="F23" s="119" t="s">
        <v>197</v>
      </c>
      <c r="G23" s="120" t="n">
        <v>46322</v>
      </c>
      <c r="H23" s="118" t="s">
        <v>221</v>
      </c>
      <c r="I23" s="121"/>
    </row>
    <row r="24" customFormat="false" ht="165" hidden="false" customHeight="true" outlineLevel="0" collapsed="false">
      <c r="A24" s="118" t="s">
        <v>460</v>
      </c>
      <c r="B24" s="118" t="s">
        <v>162</v>
      </c>
      <c r="C24" s="118" t="s">
        <v>461</v>
      </c>
      <c r="D24" s="118" t="s">
        <v>462</v>
      </c>
      <c r="E24" s="118" t="s">
        <v>445</v>
      </c>
      <c r="F24" s="119" t="s">
        <v>197</v>
      </c>
      <c r="G24" s="120" t="n">
        <v>46322</v>
      </c>
      <c r="H24" s="118" t="s">
        <v>228</v>
      </c>
      <c r="I24" s="121" t="s">
        <v>163</v>
      </c>
    </row>
    <row r="25" customFormat="false" ht="150.75" hidden="false" customHeight="true" outlineLevel="0" collapsed="false">
      <c r="A25" s="118" t="s">
        <v>463</v>
      </c>
      <c r="B25" s="118" t="s">
        <v>164</v>
      </c>
      <c r="C25" s="118" t="s">
        <v>464</v>
      </c>
      <c r="D25" s="118" t="s">
        <v>465</v>
      </c>
      <c r="E25" s="118" t="s">
        <v>457</v>
      </c>
      <c r="F25" s="119" t="s">
        <v>197</v>
      </c>
      <c r="G25" s="120" t="n">
        <v>46322</v>
      </c>
      <c r="H25" s="118" t="s">
        <v>221</v>
      </c>
      <c r="I25" s="121"/>
    </row>
    <row r="26" customFormat="false" ht="150.75" hidden="false" customHeight="true" outlineLevel="0" collapsed="false">
      <c r="A26" s="118" t="s">
        <v>466</v>
      </c>
      <c r="B26" s="118" t="s">
        <v>165</v>
      </c>
      <c r="C26" s="118" t="s">
        <v>467</v>
      </c>
      <c r="D26" s="118" t="s">
        <v>468</v>
      </c>
      <c r="E26" s="118" t="s">
        <v>457</v>
      </c>
      <c r="F26" s="119" t="s">
        <v>197</v>
      </c>
      <c r="G26" s="120" t="n">
        <v>46322</v>
      </c>
      <c r="H26" s="118" t="s">
        <v>221</v>
      </c>
      <c r="I26" s="121"/>
    </row>
    <row r="27" customFormat="false" ht="15.75" hidden="false" customHeight="true" outlineLevel="0" collapsed="false">
      <c r="A27" s="110"/>
      <c r="B27" s="115" t="s">
        <v>166</v>
      </c>
      <c r="C27" s="116"/>
      <c r="D27" s="116"/>
      <c r="E27" s="116"/>
      <c r="F27" s="116"/>
      <c r="G27" s="117"/>
      <c r="H27" s="116"/>
      <c r="I27" s="116"/>
    </row>
    <row r="28" customFormat="false" ht="136.5" hidden="false" customHeight="true" outlineLevel="0" collapsed="false">
      <c r="A28" s="118" t="s">
        <v>469</v>
      </c>
      <c r="B28" s="118" t="s">
        <v>167</v>
      </c>
      <c r="C28" s="118" t="s">
        <v>470</v>
      </c>
      <c r="D28" s="118" t="s">
        <v>471</v>
      </c>
      <c r="E28" s="118" t="s">
        <v>463</v>
      </c>
      <c r="F28" s="119" t="s">
        <v>197</v>
      </c>
      <c r="G28" s="120" t="n">
        <v>46322</v>
      </c>
      <c r="H28" s="118" t="s">
        <v>221</v>
      </c>
      <c r="I28" s="121"/>
    </row>
    <row r="29" customFormat="false" ht="150.75" hidden="false" customHeight="true" outlineLevel="0" collapsed="false">
      <c r="A29" s="118" t="s">
        <v>472</v>
      </c>
      <c r="B29" s="118" t="s">
        <v>168</v>
      </c>
      <c r="C29" s="118" t="s">
        <v>473</v>
      </c>
      <c r="D29" s="118" t="s">
        <v>474</v>
      </c>
      <c r="E29" s="118" t="s">
        <v>469</v>
      </c>
      <c r="F29" s="119" t="s">
        <v>197</v>
      </c>
      <c r="G29" s="120" t="n">
        <v>46322</v>
      </c>
      <c r="H29" s="118" t="s">
        <v>228</v>
      </c>
      <c r="I29" s="121"/>
    </row>
    <row r="30" customFormat="false" ht="136.5" hidden="false" customHeight="true" outlineLevel="0" collapsed="false">
      <c r="A30" s="118" t="s">
        <v>475</v>
      </c>
      <c r="B30" s="118" t="s">
        <v>169</v>
      </c>
      <c r="C30" s="118" t="s">
        <v>476</v>
      </c>
      <c r="D30" s="118" t="s">
        <v>477</v>
      </c>
      <c r="E30" s="118" t="s">
        <v>469</v>
      </c>
      <c r="F30" s="119" t="s">
        <v>197</v>
      </c>
      <c r="G30" s="120" t="n">
        <v>46322</v>
      </c>
      <c r="H30" s="118" t="s">
        <v>221</v>
      </c>
      <c r="I30" s="121"/>
    </row>
    <row r="31" customFormat="false" ht="165" hidden="false" customHeight="true" outlineLevel="0" collapsed="false">
      <c r="A31" s="118" t="s">
        <v>478</v>
      </c>
      <c r="B31" s="118" t="s">
        <v>170</v>
      </c>
      <c r="C31" s="118" t="s">
        <v>479</v>
      </c>
      <c r="D31" s="118" t="s">
        <v>480</v>
      </c>
      <c r="E31" s="118" t="s">
        <v>340</v>
      </c>
      <c r="F31" s="119" t="s">
        <v>197</v>
      </c>
      <c r="G31" s="120" t="n">
        <v>46322</v>
      </c>
      <c r="H31" s="118" t="s">
        <v>221</v>
      </c>
      <c r="I31" s="121" t="s">
        <v>171</v>
      </c>
    </row>
    <row r="32" customFormat="false" ht="15.75" hidden="false" customHeight="true" outlineLevel="0" collapsed="false">
      <c r="A32" s="110"/>
      <c r="B32" s="111" t="s">
        <v>172</v>
      </c>
      <c r="C32" s="112"/>
      <c r="D32" s="113"/>
      <c r="E32" s="113"/>
      <c r="F32" s="113"/>
      <c r="G32" s="114"/>
      <c r="H32" s="113"/>
      <c r="I32" s="113"/>
    </row>
    <row r="33" customFormat="false" ht="15.75" hidden="false" customHeight="true" outlineLevel="0" collapsed="false">
      <c r="A33" s="110"/>
      <c r="B33" s="115" t="s">
        <v>173</v>
      </c>
      <c r="C33" s="116"/>
      <c r="D33" s="116"/>
      <c r="E33" s="116"/>
      <c r="F33" s="116"/>
      <c r="G33" s="117"/>
      <c r="H33" s="116"/>
      <c r="I33" s="116"/>
    </row>
    <row r="34" customFormat="false" ht="165" hidden="false" customHeight="true" outlineLevel="0" collapsed="false">
      <c r="A34" s="118" t="s">
        <v>481</v>
      </c>
      <c r="B34" s="118" t="s">
        <v>174</v>
      </c>
      <c r="C34" s="118" t="s">
        <v>482</v>
      </c>
      <c r="D34" s="118" t="s">
        <v>483</v>
      </c>
      <c r="E34" s="118" t="s">
        <v>445</v>
      </c>
      <c r="F34" s="119" t="s">
        <v>197</v>
      </c>
      <c r="G34" s="120" t="n">
        <v>46322</v>
      </c>
      <c r="H34" s="118" t="s">
        <v>221</v>
      </c>
      <c r="I34" s="121" t="s">
        <v>67</v>
      </c>
    </row>
    <row r="35" customFormat="false" ht="165" hidden="false" customHeight="true" outlineLevel="0" collapsed="false">
      <c r="A35" s="118" t="s">
        <v>484</v>
      </c>
      <c r="B35" s="118" t="s">
        <v>175</v>
      </c>
      <c r="C35" s="118" t="s">
        <v>485</v>
      </c>
      <c r="D35" s="118" t="s">
        <v>486</v>
      </c>
      <c r="E35" s="118" t="s">
        <v>445</v>
      </c>
      <c r="F35" s="119" t="s">
        <v>197</v>
      </c>
      <c r="G35" s="120" t="n">
        <v>46322</v>
      </c>
      <c r="H35" s="118" t="s">
        <v>221</v>
      </c>
      <c r="I35" s="121" t="s">
        <v>67</v>
      </c>
    </row>
    <row r="36" customFormat="false" ht="165" hidden="false" customHeight="true" outlineLevel="0" collapsed="false">
      <c r="A36" s="118" t="s">
        <v>487</v>
      </c>
      <c r="B36" s="118" t="s">
        <v>176</v>
      </c>
      <c r="C36" s="118" t="s">
        <v>488</v>
      </c>
      <c r="D36" s="118" t="s">
        <v>489</v>
      </c>
      <c r="E36" s="118" t="s">
        <v>445</v>
      </c>
      <c r="F36" s="119" t="s">
        <v>197</v>
      </c>
      <c r="G36" s="120" t="n">
        <v>46322</v>
      </c>
      <c r="H36" s="118" t="s">
        <v>221</v>
      </c>
      <c r="I36" s="121" t="s">
        <v>67</v>
      </c>
    </row>
    <row r="37" customFormat="false" ht="165" hidden="false" customHeight="true" outlineLevel="0" collapsed="false">
      <c r="A37" s="118" t="s">
        <v>490</v>
      </c>
      <c r="B37" s="118" t="s">
        <v>177</v>
      </c>
      <c r="C37" s="118" t="s">
        <v>491</v>
      </c>
      <c r="D37" s="118" t="s">
        <v>492</v>
      </c>
      <c r="E37" s="118" t="s">
        <v>445</v>
      </c>
      <c r="F37" s="119" t="s">
        <v>200</v>
      </c>
      <c r="G37" s="120" t="n">
        <v>46322</v>
      </c>
      <c r="H37" s="118" t="s">
        <v>228</v>
      </c>
      <c r="I37" s="121" t="s">
        <v>493</v>
      </c>
    </row>
    <row r="38" customFormat="false" ht="150.75" hidden="false" customHeight="true" outlineLevel="0" collapsed="false">
      <c r="A38" s="118" t="s">
        <v>494</v>
      </c>
      <c r="B38" s="118" t="s">
        <v>178</v>
      </c>
      <c r="C38" s="118" t="s">
        <v>495</v>
      </c>
      <c r="D38" s="118" t="s">
        <v>496</v>
      </c>
      <c r="E38" s="118" t="s">
        <v>445</v>
      </c>
      <c r="F38" s="119" t="s">
        <v>200</v>
      </c>
      <c r="G38" s="120" t="n">
        <v>46322</v>
      </c>
      <c r="H38" s="118" t="s">
        <v>228</v>
      </c>
      <c r="I38" s="121" t="s">
        <v>497</v>
      </c>
    </row>
    <row r="39" customFormat="false" ht="150.75" hidden="false" customHeight="true" outlineLevel="0" collapsed="false">
      <c r="A39" s="118" t="s">
        <v>498</v>
      </c>
      <c r="B39" s="118" t="s">
        <v>179</v>
      </c>
      <c r="C39" s="118" t="s">
        <v>499</v>
      </c>
      <c r="D39" s="118" t="s">
        <v>500</v>
      </c>
      <c r="E39" s="118" t="s">
        <v>439</v>
      </c>
      <c r="F39" s="119" t="s">
        <v>200</v>
      </c>
      <c r="G39" s="120" t="n">
        <v>46322</v>
      </c>
      <c r="H39" s="118" t="s">
        <v>228</v>
      </c>
      <c r="I39" s="121" t="s">
        <v>501</v>
      </c>
    </row>
    <row r="40" customFormat="false" ht="15.75" hidden="false" customHeight="true" outlineLevel="0" collapsed="false">
      <c r="A40" s="110"/>
      <c r="B40" s="115" t="s">
        <v>181</v>
      </c>
      <c r="C40" s="116"/>
      <c r="D40" s="116"/>
      <c r="E40" s="116"/>
      <c r="F40" s="116"/>
      <c r="G40" s="117"/>
      <c r="H40" s="116"/>
      <c r="I40" s="116"/>
    </row>
    <row r="41" customFormat="false" ht="136.5" hidden="false" customHeight="true" outlineLevel="0" collapsed="false">
      <c r="A41" s="118" t="s">
        <v>502</v>
      </c>
      <c r="B41" s="118" t="s">
        <v>182</v>
      </c>
      <c r="C41" s="118" t="s">
        <v>503</v>
      </c>
      <c r="D41" s="118" t="s">
        <v>504</v>
      </c>
      <c r="E41" s="118" t="s">
        <v>439</v>
      </c>
      <c r="F41" s="119" t="s">
        <v>197</v>
      </c>
      <c r="G41" s="120" t="n">
        <v>46322</v>
      </c>
      <c r="H41" s="118" t="s">
        <v>228</v>
      </c>
      <c r="I41" s="121"/>
    </row>
    <row r="42" customFormat="false" ht="121.5" hidden="false" customHeight="true" outlineLevel="0" collapsed="false">
      <c r="A42" s="118" t="s">
        <v>505</v>
      </c>
      <c r="B42" s="118" t="s">
        <v>183</v>
      </c>
      <c r="C42" s="118" t="s">
        <v>506</v>
      </c>
      <c r="D42" s="118" t="s">
        <v>507</v>
      </c>
      <c r="E42" s="118" t="s">
        <v>478</v>
      </c>
      <c r="F42" s="119" t="s">
        <v>200</v>
      </c>
      <c r="G42" s="120" t="n">
        <v>46322</v>
      </c>
      <c r="H42" s="118" t="s">
        <v>221</v>
      </c>
      <c r="I42" s="121" t="s">
        <v>508</v>
      </c>
    </row>
    <row r="43" customFormat="false" ht="150.75" hidden="false" customHeight="true" outlineLevel="0" collapsed="false">
      <c r="A43" s="118" t="s">
        <v>509</v>
      </c>
      <c r="B43" s="118" t="s">
        <v>185</v>
      </c>
      <c r="C43" s="118" t="s">
        <v>510</v>
      </c>
      <c r="D43" s="118" t="s">
        <v>511</v>
      </c>
      <c r="E43" s="118" t="s">
        <v>439</v>
      </c>
      <c r="F43" s="119" t="s">
        <v>197</v>
      </c>
      <c r="G43" s="120" t="n">
        <v>46322</v>
      </c>
      <c r="H43" s="118" t="s">
        <v>221</v>
      </c>
      <c r="I43" s="121" t="s">
        <v>186</v>
      </c>
    </row>
    <row r="44" customFormat="false" ht="136.5" hidden="false" customHeight="true" outlineLevel="0" collapsed="false">
      <c r="A44" s="118" t="s">
        <v>512</v>
      </c>
      <c r="B44" s="118" t="s">
        <v>187</v>
      </c>
      <c r="C44" s="118" t="s">
        <v>513</v>
      </c>
      <c r="D44" s="118" t="s">
        <v>514</v>
      </c>
      <c r="E44" s="118" t="s">
        <v>439</v>
      </c>
      <c r="F44" s="119" t="s">
        <v>197</v>
      </c>
      <c r="G44" s="120" t="n">
        <v>46322</v>
      </c>
      <c r="H44" s="118" t="s">
        <v>228</v>
      </c>
      <c r="I44" s="121" t="s">
        <v>79</v>
      </c>
    </row>
    <row r="45" customFormat="false" ht="136.5" hidden="false" customHeight="true" outlineLevel="0" collapsed="false">
      <c r="A45" s="118" t="s">
        <v>515</v>
      </c>
      <c r="B45" s="118" t="s">
        <v>188</v>
      </c>
      <c r="C45" s="118" t="s">
        <v>516</v>
      </c>
      <c r="D45" s="118" t="s">
        <v>517</v>
      </c>
      <c r="E45" s="118" t="s">
        <v>445</v>
      </c>
      <c r="F45" s="119" t="s">
        <v>197</v>
      </c>
      <c r="G45" s="120" t="n">
        <v>46322</v>
      </c>
      <c r="H45" s="118" t="s">
        <v>228</v>
      </c>
      <c r="I45" s="121" t="s">
        <v>79</v>
      </c>
    </row>
    <row r="46" customFormat="false" ht="15.75" hidden="false" customHeight="true" outlineLevel="0" collapsed="false">
      <c r="A46" s="110"/>
      <c r="B46" s="111" t="s">
        <v>189</v>
      </c>
      <c r="C46" s="112"/>
      <c r="D46" s="113"/>
      <c r="E46" s="113"/>
      <c r="F46" s="113"/>
      <c r="G46" s="114"/>
      <c r="H46" s="113"/>
      <c r="I46" s="113"/>
    </row>
    <row r="47" customFormat="false" ht="15.75" hidden="false" customHeight="true" outlineLevel="0" collapsed="false">
      <c r="A47" s="110"/>
      <c r="B47" s="115" t="s">
        <v>190</v>
      </c>
      <c r="C47" s="116"/>
      <c r="D47" s="116"/>
      <c r="E47" s="116"/>
      <c r="F47" s="116"/>
      <c r="G47" s="117"/>
      <c r="H47" s="116"/>
      <c r="I47" s="116"/>
    </row>
    <row r="48" customFormat="false" ht="150.75" hidden="false" customHeight="true" outlineLevel="0" collapsed="false">
      <c r="A48" s="118" t="s">
        <v>518</v>
      </c>
      <c r="B48" s="118" t="s">
        <v>191</v>
      </c>
      <c r="C48" s="118" t="s">
        <v>519</v>
      </c>
      <c r="D48" s="118" t="s">
        <v>520</v>
      </c>
      <c r="E48" s="118" t="s">
        <v>445</v>
      </c>
      <c r="F48" s="119" t="s">
        <v>197</v>
      </c>
      <c r="G48" s="120" t="n">
        <v>46322</v>
      </c>
      <c r="H48" s="118" t="s">
        <v>221</v>
      </c>
      <c r="I48" s="121"/>
    </row>
    <row r="49" customFormat="false" ht="150.75" hidden="false" customHeight="true" outlineLevel="0" collapsed="false">
      <c r="A49" s="118" t="s">
        <v>521</v>
      </c>
      <c r="B49" s="118" t="s">
        <v>192</v>
      </c>
      <c r="C49" s="118" t="s">
        <v>522</v>
      </c>
      <c r="D49" s="118" t="s">
        <v>523</v>
      </c>
      <c r="E49" s="118" t="s">
        <v>518</v>
      </c>
      <c r="F49" s="119" t="s">
        <v>197</v>
      </c>
      <c r="G49" s="120" t="n">
        <v>46322</v>
      </c>
      <c r="H49" s="118" t="s">
        <v>228</v>
      </c>
      <c r="I49" s="121"/>
    </row>
    <row r="50" customFormat="false" ht="136.5" hidden="false" customHeight="true" outlineLevel="0" collapsed="false">
      <c r="A50" s="118" t="s">
        <v>524</v>
      </c>
      <c r="B50" s="118" t="s">
        <v>193</v>
      </c>
      <c r="C50" s="118" t="s">
        <v>525</v>
      </c>
      <c r="D50" s="118" t="s">
        <v>526</v>
      </c>
      <c r="E50" s="118" t="s">
        <v>478</v>
      </c>
      <c r="F50" s="119" t="s">
        <v>200</v>
      </c>
      <c r="G50" s="120" t="n">
        <v>46322</v>
      </c>
      <c r="H50" s="118" t="s">
        <v>228</v>
      </c>
      <c r="I50" s="121" t="s">
        <v>527</v>
      </c>
    </row>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sheetData>
  <mergeCells count="6">
    <mergeCell ref="B2:G2"/>
    <mergeCell ref="B3:G3"/>
    <mergeCell ref="B4:G4"/>
    <mergeCell ref="B5:G5"/>
    <mergeCell ref="A10:I10"/>
    <mergeCell ref="A11:I11"/>
  </mergeCells>
  <conditionalFormatting sqref="F12:F50">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"Blocked"</formula>
    </cfRule>
    <cfRule type="cellIs" priority="6" operator="equal" aboveAverage="0" equalAverage="0" bottom="0" percent="0" rank="0" text="" dxfId="4">
      <formula>"Skipped"</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50"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29"/>
    <col collapsed="false" customWidth="true" hidden="false" outlineLevel="0" max="2" min="2" style="1" width="15.42"/>
    <col collapsed="false" customWidth="true" hidden="false" outlineLevel="0" max="3" min="3" style="1" width="22.15"/>
    <col collapsed="false" customWidth="true" hidden="false" outlineLevel="0" max="6" min="4" style="1" width="10.29"/>
    <col collapsed="false" customWidth="true" hidden="false" outlineLevel="0" max="7" min="7" style="1" width="11.29"/>
    <col collapsed="false" customWidth="true" hidden="false" outlineLevel="0" max="8" min="8" style="1" width="11.71"/>
    <col collapsed="false" customWidth="true" hidden="false" outlineLevel="0" max="9" min="9" style="1" width="30.12"/>
    <col collapsed="false" customWidth="true" hidden="false" outlineLevel="0" max="26" min="10" style="1" width="9.14"/>
  </cols>
  <sheetData>
    <row r="1" customFormat="false" ht="25.5" hidden="false" customHeight="true" outlineLevel="0" collapsed="false">
      <c r="A1" s="10"/>
      <c r="B1" s="122" t="s">
        <v>528</v>
      </c>
      <c r="C1" s="122"/>
      <c r="D1" s="122"/>
      <c r="E1" s="122"/>
      <c r="F1" s="122"/>
      <c r="G1" s="122"/>
      <c r="H1" s="122"/>
      <c r="I1" s="10"/>
      <c r="J1" s="41"/>
      <c r="K1" s="41"/>
      <c r="L1" s="41"/>
      <c r="M1" s="41"/>
      <c r="N1" s="41"/>
      <c r="O1" s="41"/>
      <c r="P1" s="41"/>
      <c r="Q1" s="41"/>
      <c r="R1" s="41"/>
      <c r="S1" s="41"/>
      <c r="T1" s="41"/>
      <c r="U1" s="41"/>
      <c r="V1" s="41"/>
      <c r="W1" s="41"/>
      <c r="X1" s="41"/>
      <c r="Y1" s="41"/>
      <c r="Z1" s="41"/>
    </row>
    <row r="2" customFormat="false" ht="14.25" hidden="false" customHeight="true" outlineLevel="0" collapsed="false">
      <c r="A2" s="123"/>
      <c r="B2" s="123"/>
      <c r="C2" s="10"/>
      <c r="D2" s="10"/>
      <c r="E2" s="10"/>
      <c r="F2" s="10"/>
      <c r="G2" s="10"/>
      <c r="H2" s="124"/>
      <c r="I2" s="10"/>
      <c r="J2" s="41"/>
      <c r="K2" s="41"/>
      <c r="L2" s="41"/>
      <c r="M2" s="41"/>
      <c r="N2" s="41"/>
      <c r="O2" s="41"/>
      <c r="P2" s="41"/>
      <c r="Q2" s="41"/>
      <c r="R2" s="41"/>
      <c r="S2" s="41"/>
      <c r="T2" s="41"/>
      <c r="U2" s="41"/>
      <c r="V2" s="41"/>
      <c r="W2" s="41"/>
      <c r="X2" s="41"/>
      <c r="Y2" s="41"/>
      <c r="Z2" s="41"/>
    </row>
    <row r="3" customFormat="false" ht="12" hidden="false" customHeight="true" outlineLevel="0" collapsed="false">
      <c r="A3" s="10"/>
      <c r="B3" s="15" t="s">
        <v>1</v>
      </c>
      <c r="C3" s="48" t="str">
        <f aca="false">Cover!C4</f>
        <v>OrangeHRM - Recruitment</v>
      </c>
      <c r="D3" s="48"/>
      <c r="E3" s="11" t="s">
        <v>3</v>
      </c>
      <c r="F3" s="11"/>
      <c r="G3" s="125" t="s">
        <v>4</v>
      </c>
      <c r="H3" s="125"/>
      <c r="I3" s="10"/>
      <c r="J3" s="41"/>
      <c r="K3" s="41"/>
      <c r="L3" s="41"/>
      <c r="M3" s="41"/>
      <c r="N3" s="41"/>
      <c r="O3" s="41"/>
      <c r="P3" s="41"/>
      <c r="Q3" s="41"/>
      <c r="R3" s="41"/>
      <c r="S3" s="41"/>
      <c r="T3" s="41"/>
      <c r="U3" s="41"/>
      <c r="V3" s="41"/>
      <c r="W3" s="41"/>
      <c r="X3" s="41"/>
      <c r="Y3" s="41"/>
      <c r="Z3" s="41"/>
    </row>
    <row r="4" customFormat="false" ht="12" hidden="false" customHeight="true" outlineLevel="0" collapsed="false">
      <c r="A4" s="10"/>
      <c r="B4" s="15" t="s">
        <v>5</v>
      </c>
      <c r="C4" s="48" t="str">
        <f aca="false">Cover!C5</f>
        <v>OHRM-REC</v>
      </c>
      <c r="D4" s="48"/>
      <c r="E4" s="11" t="s">
        <v>7</v>
      </c>
      <c r="F4" s="11"/>
      <c r="G4" s="126"/>
      <c r="H4" s="126"/>
      <c r="I4" s="10"/>
      <c r="J4" s="41"/>
      <c r="K4" s="41"/>
      <c r="L4" s="41"/>
      <c r="M4" s="41"/>
      <c r="N4" s="41"/>
      <c r="O4" s="41"/>
      <c r="P4" s="41"/>
      <c r="Q4" s="41"/>
      <c r="R4" s="41"/>
      <c r="S4" s="41"/>
      <c r="T4" s="41"/>
      <c r="U4" s="41"/>
      <c r="V4" s="41"/>
      <c r="W4" s="41"/>
      <c r="X4" s="41"/>
      <c r="Y4" s="41"/>
      <c r="Z4" s="41"/>
    </row>
    <row r="5" customFormat="false" ht="12" hidden="false" customHeight="true" outlineLevel="0" collapsed="false">
      <c r="A5" s="10"/>
      <c r="B5" s="127" t="s">
        <v>8</v>
      </c>
      <c r="C5" s="48" t="str">
        <f aca="false">C4&amp;"_"&amp;"Test Report"&amp;"_"&amp;"v0.1"</f>
        <v>OHRM-REC_Test Report_v0.1</v>
      </c>
      <c r="D5" s="48"/>
      <c r="E5" s="11" t="s">
        <v>9</v>
      </c>
      <c r="F5" s="11"/>
      <c r="G5" s="128" t="n">
        <v>46322</v>
      </c>
      <c r="H5" s="128"/>
      <c r="I5" s="10"/>
      <c r="J5" s="41"/>
      <c r="K5" s="41"/>
      <c r="L5" s="41"/>
      <c r="M5" s="41"/>
      <c r="N5" s="41"/>
      <c r="O5" s="41"/>
      <c r="P5" s="41"/>
      <c r="Q5" s="41"/>
      <c r="R5" s="41"/>
      <c r="S5" s="41"/>
      <c r="T5" s="41"/>
      <c r="U5" s="41"/>
      <c r="V5" s="41"/>
      <c r="W5" s="41"/>
      <c r="X5" s="41"/>
      <c r="Y5" s="41"/>
      <c r="Z5" s="41"/>
    </row>
    <row r="6" customFormat="false" ht="48" hidden="false" customHeight="true" outlineLevel="0" collapsed="false">
      <c r="A6" s="123"/>
      <c r="B6" s="127" t="s">
        <v>529</v>
      </c>
      <c r="C6" s="51" t="s">
        <v>530</v>
      </c>
      <c r="D6" s="51"/>
      <c r="E6" s="51"/>
      <c r="F6" s="51"/>
      <c r="G6" s="51"/>
      <c r="H6" s="51"/>
      <c r="I6" s="10"/>
      <c r="J6" s="41"/>
      <c r="K6" s="41"/>
      <c r="L6" s="41"/>
      <c r="M6" s="41"/>
      <c r="N6" s="41"/>
      <c r="O6" s="41"/>
      <c r="P6" s="41"/>
      <c r="Q6" s="41"/>
      <c r="R6" s="41"/>
      <c r="S6" s="41"/>
      <c r="T6" s="41"/>
      <c r="U6" s="41"/>
      <c r="V6" s="41"/>
      <c r="W6" s="41"/>
      <c r="X6" s="41"/>
      <c r="Y6" s="41"/>
      <c r="Z6" s="41"/>
    </row>
    <row r="7" customFormat="false" ht="14.25" hidden="false" customHeight="true" outlineLevel="0" collapsed="false">
      <c r="A7" s="123"/>
      <c r="B7" s="19"/>
      <c r="C7" s="129"/>
      <c r="D7" s="10"/>
      <c r="E7" s="10"/>
      <c r="F7" s="10"/>
      <c r="G7" s="10"/>
      <c r="H7" s="124"/>
      <c r="I7" s="10"/>
      <c r="J7" s="41"/>
      <c r="K7" s="41"/>
      <c r="L7" s="41"/>
      <c r="M7" s="41"/>
      <c r="N7" s="41"/>
      <c r="O7" s="41"/>
      <c r="P7" s="41"/>
      <c r="Q7" s="41"/>
      <c r="R7" s="41"/>
      <c r="S7" s="41"/>
      <c r="T7" s="41"/>
      <c r="U7" s="41"/>
      <c r="V7" s="41"/>
      <c r="W7" s="41"/>
      <c r="X7" s="41"/>
      <c r="Y7" s="41"/>
      <c r="Z7" s="41"/>
    </row>
    <row r="8" customFormat="false" ht="12.75" hidden="false" customHeight="true" outlineLevel="0" collapsed="false">
      <c r="A8" s="10"/>
      <c r="B8" s="19"/>
      <c r="C8" s="129"/>
      <c r="D8" s="10"/>
      <c r="E8" s="10"/>
      <c r="F8" s="10"/>
      <c r="G8" s="10"/>
      <c r="H8" s="124"/>
      <c r="I8" s="10"/>
      <c r="J8" s="41"/>
      <c r="K8" s="41"/>
      <c r="L8" s="41"/>
      <c r="M8" s="41"/>
      <c r="N8" s="41"/>
      <c r="O8" s="41"/>
      <c r="P8" s="41"/>
      <c r="Q8" s="41"/>
      <c r="R8" s="41"/>
      <c r="S8" s="41"/>
      <c r="T8" s="41"/>
      <c r="U8" s="41"/>
      <c r="V8" s="41"/>
      <c r="W8" s="41"/>
      <c r="X8" s="41"/>
      <c r="Y8" s="41"/>
      <c r="Z8" s="41"/>
    </row>
    <row r="9" customFormat="false" ht="12.75" hidden="false" customHeight="true" outlineLevel="0" collapsed="false">
      <c r="A9" s="10"/>
      <c r="B9" s="10"/>
      <c r="C9" s="10"/>
      <c r="D9" s="10"/>
      <c r="E9" s="10"/>
      <c r="F9" s="10"/>
      <c r="G9" s="10"/>
      <c r="H9" s="10"/>
      <c r="I9" s="10"/>
      <c r="J9" s="41"/>
      <c r="K9" s="41"/>
      <c r="L9" s="41"/>
      <c r="M9" s="41"/>
      <c r="N9" s="41"/>
      <c r="O9" s="41"/>
      <c r="P9" s="41"/>
      <c r="Q9" s="41"/>
      <c r="R9" s="41"/>
      <c r="S9" s="41"/>
      <c r="T9" s="41"/>
      <c r="U9" s="41"/>
      <c r="V9" s="41"/>
      <c r="W9" s="41"/>
      <c r="X9" s="41"/>
      <c r="Y9" s="41"/>
      <c r="Z9" s="41"/>
    </row>
    <row r="10" customFormat="false" ht="12.75" hidden="false" customHeight="true" outlineLevel="0" collapsed="false">
      <c r="A10" s="130"/>
      <c r="B10" s="131" t="s">
        <v>24</v>
      </c>
      <c r="C10" s="132" t="s">
        <v>531</v>
      </c>
      <c r="D10" s="132" t="s">
        <v>197</v>
      </c>
      <c r="E10" s="132" t="s">
        <v>200</v>
      </c>
      <c r="F10" s="132" t="s">
        <v>203</v>
      </c>
      <c r="G10" s="133" t="s">
        <v>205</v>
      </c>
      <c r="H10" s="134" t="s">
        <v>206</v>
      </c>
      <c r="I10" s="134" t="s">
        <v>532</v>
      </c>
      <c r="J10" s="41"/>
      <c r="K10" s="41"/>
      <c r="L10" s="41"/>
      <c r="M10" s="41"/>
      <c r="N10" s="41"/>
      <c r="O10" s="41"/>
      <c r="P10" s="41"/>
      <c r="Q10" s="41"/>
      <c r="R10" s="41"/>
      <c r="S10" s="41"/>
      <c r="T10" s="41"/>
      <c r="U10" s="41"/>
      <c r="V10" s="41"/>
      <c r="W10" s="41"/>
      <c r="X10" s="41"/>
      <c r="Y10" s="41"/>
      <c r="Z10" s="41"/>
    </row>
    <row r="11" customFormat="false" ht="12.75" hidden="false" customHeight="true" outlineLevel="0" collapsed="false">
      <c r="A11" s="130"/>
      <c r="B11" s="135" t="n">
        <v>1</v>
      </c>
      <c r="C11" s="136" t="str">
        <f aca="false">F10_Vacancy!B2</f>
        <v>OHRM_REC_Vacancy</v>
      </c>
      <c r="D11" s="137" t="n">
        <f aca="false">F10_Vacancy!A7</f>
        <v>0</v>
      </c>
      <c r="E11" s="137" t="n">
        <f aca="false">F10_Vacancy!B7</f>
        <v>1</v>
      </c>
      <c r="F11" s="137" t="n">
        <f aca="false">F10_Vacancy!C7</f>
        <v>33</v>
      </c>
      <c r="G11" s="138" t="n">
        <f aca="false">F10_Vacancy!D7</f>
        <v>0</v>
      </c>
      <c r="H11" s="138" t="n">
        <f aca="false">F10_Vacancy!E7</f>
        <v>0</v>
      </c>
      <c r="I11" s="139" t="n">
        <f aca="false">F10_Vacancy!F7</f>
        <v>34</v>
      </c>
      <c r="J11" s="41"/>
      <c r="K11" s="41"/>
      <c r="L11" s="41"/>
      <c r="M11" s="41"/>
      <c r="N11" s="41"/>
      <c r="O11" s="41"/>
      <c r="P11" s="41"/>
      <c r="Q11" s="41"/>
      <c r="R11" s="41"/>
      <c r="S11" s="41"/>
      <c r="T11" s="41"/>
      <c r="U11" s="41"/>
      <c r="V11" s="41"/>
      <c r="W11" s="41"/>
      <c r="X11" s="41"/>
      <c r="Y11" s="41"/>
      <c r="Z11" s="41"/>
    </row>
    <row r="12" customFormat="false" ht="12.75" hidden="false" customHeight="true" outlineLevel="0" collapsed="false">
      <c r="A12" s="130"/>
      <c r="B12" s="135" t="n">
        <v>2</v>
      </c>
      <c r="C12" s="136" t="str">
        <f aca="false">F11_Candidate!B2</f>
        <v>OHRM_REC_Candidate</v>
      </c>
      <c r="D12" s="137" t="n">
        <f aca="false">F11_Candidate!A7</f>
        <v>7</v>
      </c>
      <c r="E12" s="137" t="n">
        <f aca="false">F11_Candidate!B7</f>
        <v>1</v>
      </c>
      <c r="F12" s="137" t="n">
        <f aca="false">F11_Candidate!C7</f>
        <v>28</v>
      </c>
      <c r="G12" s="138" t="n">
        <f aca="false">F11_Candidate!D7</f>
        <v>0</v>
      </c>
      <c r="H12" s="138" t="n">
        <f aca="false">F11_Candidate!E7</f>
        <v>0</v>
      </c>
      <c r="I12" s="139" t="n">
        <f aca="false">F11_Candidate!F7</f>
        <v>36</v>
      </c>
      <c r="J12" s="41"/>
      <c r="K12" s="41"/>
      <c r="L12" s="41"/>
      <c r="M12" s="41"/>
      <c r="N12" s="41"/>
      <c r="O12" s="41"/>
      <c r="P12" s="41"/>
      <c r="Q12" s="41"/>
      <c r="R12" s="41"/>
      <c r="S12" s="41"/>
      <c r="T12" s="41"/>
      <c r="U12" s="41"/>
      <c r="V12" s="41"/>
      <c r="W12" s="41"/>
      <c r="X12" s="41"/>
      <c r="Y12" s="41"/>
      <c r="Z12" s="41"/>
    </row>
    <row r="13" customFormat="false" ht="12.75" hidden="false" customHeight="true" outlineLevel="0" collapsed="false">
      <c r="A13" s="130"/>
      <c r="B13" s="135" t="n">
        <v>3</v>
      </c>
      <c r="C13" s="136" t="str">
        <f aca="false">F12_Status!B2</f>
        <v>OHRM_REC_Status</v>
      </c>
      <c r="D13" s="137" t="n">
        <f aca="false">F12_Status!A7</f>
        <v>23</v>
      </c>
      <c r="E13" s="137" t="n">
        <f aca="false">F12_Status!B7</f>
        <v>5</v>
      </c>
      <c r="F13" s="137" t="n">
        <f aca="false">F12_Status!C7</f>
        <v>0</v>
      </c>
      <c r="G13" s="137" t="n">
        <f aca="false">F12_Status!D7</f>
        <v>0</v>
      </c>
      <c r="H13" s="137" t="n">
        <f aca="false">F12_Status!E7</f>
        <v>0</v>
      </c>
      <c r="I13" s="139" t="n">
        <f aca="false">F12_Status!F7</f>
        <v>28</v>
      </c>
      <c r="J13" s="41"/>
      <c r="K13" s="41"/>
      <c r="L13" s="41"/>
      <c r="M13" s="41"/>
      <c r="N13" s="41"/>
      <c r="O13" s="41"/>
      <c r="P13" s="41"/>
      <c r="Q13" s="41"/>
      <c r="R13" s="41"/>
      <c r="S13" s="41"/>
      <c r="T13" s="41"/>
      <c r="U13" s="41"/>
      <c r="V13" s="41"/>
      <c r="W13" s="41"/>
      <c r="X13" s="41"/>
      <c r="Y13" s="41"/>
      <c r="Z13" s="41"/>
    </row>
    <row r="14" customFormat="false" ht="12.75" hidden="false" customHeight="true" outlineLevel="0" collapsed="false">
      <c r="A14" s="130"/>
      <c r="B14" s="135"/>
      <c r="C14" s="136"/>
      <c r="D14" s="137"/>
      <c r="E14" s="137"/>
      <c r="F14" s="137"/>
      <c r="G14" s="138"/>
      <c r="H14" s="138"/>
      <c r="I14" s="139"/>
      <c r="J14" s="41"/>
      <c r="K14" s="41"/>
      <c r="L14" s="41"/>
      <c r="M14" s="41"/>
      <c r="N14" s="41"/>
      <c r="O14" s="41"/>
      <c r="P14" s="41"/>
      <c r="Q14" s="41"/>
      <c r="R14" s="41"/>
      <c r="S14" s="41"/>
      <c r="T14" s="41"/>
      <c r="U14" s="41"/>
      <c r="V14" s="41"/>
      <c r="W14" s="41"/>
      <c r="X14" s="41"/>
      <c r="Y14" s="41"/>
      <c r="Z14" s="41"/>
    </row>
    <row r="15" customFormat="false" ht="12.75" hidden="false" customHeight="true" outlineLevel="0" collapsed="false">
      <c r="A15" s="130"/>
      <c r="B15" s="140"/>
      <c r="C15" s="141" t="s">
        <v>533</v>
      </c>
      <c r="D15" s="142" t="n">
        <f aca="false">SUM(D9:D14)</f>
        <v>30</v>
      </c>
      <c r="E15" s="142" t="n">
        <f aca="false">SUM(E9:E14)</f>
        <v>7</v>
      </c>
      <c r="F15" s="142" t="n">
        <f aca="false">SUM(F9:F14)</f>
        <v>61</v>
      </c>
      <c r="G15" s="142" t="n">
        <f aca="false">SUM(G9:G14)</f>
        <v>0</v>
      </c>
      <c r="H15" s="143" t="n">
        <f aca="false">SUM(H9:H14)</f>
        <v>0</v>
      </c>
      <c r="I15" s="143" t="n">
        <f aca="false">SUM(I9:I14)</f>
        <v>98</v>
      </c>
      <c r="J15" s="41"/>
      <c r="K15" s="41"/>
      <c r="L15" s="41"/>
      <c r="M15" s="41"/>
      <c r="N15" s="41"/>
      <c r="O15" s="41"/>
      <c r="P15" s="41"/>
      <c r="Q15" s="41"/>
      <c r="R15" s="41"/>
      <c r="S15" s="41"/>
      <c r="T15" s="41"/>
      <c r="U15" s="41"/>
      <c r="V15" s="41"/>
      <c r="W15" s="41"/>
      <c r="X15" s="41"/>
      <c r="Y15" s="41"/>
      <c r="Z15" s="41"/>
    </row>
    <row r="16" customFormat="false" ht="12.75" hidden="false" customHeight="true" outlineLevel="0" collapsed="false">
      <c r="A16" s="10"/>
      <c r="B16" s="144"/>
      <c r="C16" s="10"/>
      <c r="D16" s="145"/>
      <c r="E16" s="146"/>
      <c r="F16" s="146"/>
      <c r="G16" s="146"/>
      <c r="H16" s="146"/>
      <c r="I16" s="10"/>
      <c r="J16" s="41"/>
      <c r="K16" s="41"/>
      <c r="L16" s="41"/>
      <c r="M16" s="41"/>
      <c r="N16" s="41"/>
      <c r="O16" s="41"/>
      <c r="P16" s="41"/>
      <c r="Q16" s="41"/>
      <c r="R16" s="41"/>
      <c r="S16" s="41"/>
      <c r="T16" s="41"/>
      <c r="U16" s="41"/>
      <c r="V16" s="41"/>
      <c r="W16" s="41"/>
      <c r="X16" s="41"/>
      <c r="Y16" s="41"/>
      <c r="Z16" s="41"/>
    </row>
    <row r="17" customFormat="false" ht="12.75" hidden="false" customHeight="true" outlineLevel="0" collapsed="false">
      <c r="A17" s="10"/>
      <c r="B17" s="10"/>
      <c r="C17" s="147" t="s">
        <v>534</v>
      </c>
      <c r="D17" s="10"/>
      <c r="E17" s="148" t="n">
        <f aca="false">IF((I15-H15-G15)=0,0,(D15+E15)*100/(I15-H15-G15))</f>
        <v>37.7551020408163</v>
      </c>
      <c r="F17" s="149" t="s">
        <v>535</v>
      </c>
      <c r="G17" s="10"/>
      <c r="H17" s="150"/>
      <c r="I17" s="10"/>
      <c r="J17" s="41"/>
      <c r="K17" s="41"/>
      <c r="L17" s="41"/>
      <c r="M17" s="41"/>
      <c r="N17" s="41"/>
      <c r="O17" s="41"/>
      <c r="P17" s="41"/>
      <c r="Q17" s="41"/>
      <c r="R17" s="41"/>
      <c r="S17" s="41"/>
      <c r="T17" s="41"/>
      <c r="U17" s="41"/>
      <c r="V17" s="41"/>
      <c r="W17" s="41"/>
      <c r="X17" s="41"/>
      <c r="Y17" s="41"/>
      <c r="Z17" s="41"/>
    </row>
    <row r="18" customFormat="false" ht="12.75" hidden="false" customHeight="true" outlineLevel="0" collapsed="false">
      <c r="A18" s="10"/>
      <c r="B18" s="10"/>
      <c r="C18" s="147" t="s">
        <v>536</v>
      </c>
      <c r="D18" s="10"/>
      <c r="E18" s="148" t="n">
        <f aca="false">IF((D15+E15)=0,0,D15*100/(D15+E15))</f>
        <v>81.0810810810811</v>
      </c>
      <c r="F18" s="149" t="s">
        <v>535</v>
      </c>
      <c r="G18" s="10"/>
      <c r="H18" s="150"/>
      <c r="I18" s="10"/>
      <c r="J18" s="41"/>
      <c r="K18" s="41"/>
      <c r="L18" s="41"/>
      <c r="M18" s="41"/>
      <c r="N18" s="41"/>
      <c r="O18" s="41"/>
      <c r="P18" s="41"/>
      <c r="Q18" s="41"/>
      <c r="R18" s="41"/>
      <c r="S18" s="41"/>
      <c r="T18" s="41"/>
      <c r="U18" s="41"/>
      <c r="V18" s="41"/>
      <c r="W18" s="41"/>
      <c r="X18" s="41"/>
      <c r="Y18" s="41"/>
      <c r="Z18" s="41"/>
    </row>
    <row r="19" customFormat="false" ht="12.75" hidden="false" customHeight="true" outlineLevel="0" collapsed="false">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ustomFormat="false" ht="12.75" hidden="false" customHeight="tru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ustomFormat="false" ht="12.75" hidden="false" customHeight="true" outlineLevel="0" collapsed="false">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ustomFormat="false" ht="12.75" hidden="false" customHeight="true" outlineLevel="0" collapsed="false">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ustomFormat="false" ht="12.75" hidden="false" customHeight="true" outlineLevel="0" collapsed="false">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ustomFormat="false" ht="12.75" hidden="false" customHeight="true" outlineLevel="0" collapsed="false">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ustomFormat="false" ht="12.75" hidden="false" customHeight="true" outlineLevel="0" collapsed="false">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ustomFormat="false" ht="12.75" hidden="false" customHeight="true" outlineLevel="0" collapsed="false">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ustomFormat="false" ht="12.75" hidden="false" customHeight="true" outlineLevel="0" collapsed="false">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ustomFormat="false" ht="12.75" hidden="false" customHeight="true" outlineLevel="0" collapsed="false">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ustomFormat="false" ht="12.75" hidden="false" customHeight="true" outlineLevel="0" collapsed="false">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ustomFormat="false" ht="12.75" hidden="false" customHeight="true" outlineLevel="0" collapsed="false">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ustomFormat="false" ht="12.75" hidden="false" customHeight="true" outlineLevel="0" collapsed="false">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ustomFormat="false" ht="12.75" hidden="false" customHeight="true" outlineLevel="0" collapsed="false">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ustomFormat="false" ht="12.75" hidden="false" customHeight="true" outlineLevel="0" collapsed="false">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ustomFormat="false" ht="12.75" hidden="false" customHeight="true" outlineLevel="0" collapsed="false">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ustomFormat="false" ht="12.75" hidden="false" customHeight="true" outlineLevel="0" collapsed="false">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ustomFormat="false" ht="12.75" hidden="false" customHeight="true" outlineLevel="0" collapsed="false">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ustomFormat="false" ht="12.75" hidden="false" customHeight="true" outlineLevel="0" collapsed="false">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ustomFormat="false" ht="12.75" hidden="false" customHeight="true" outlineLevel="0" collapsed="false">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ustomFormat="false" ht="12.75" hidden="false" customHeight="true" outlineLevel="0" collapsed="false">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ustomFormat="false" ht="12.75" hidden="false" customHeight="true" outlineLevel="0" collapsed="false">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sheetData>
  <mergeCells count="11">
    <mergeCell ref="B1:H1"/>
    <mergeCell ref="C3:D3"/>
    <mergeCell ref="E3:F3"/>
    <mergeCell ref="G3:H3"/>
    <mergeCell ref="C4:D4"/>
    <mergeCell ref="E4:F4"/>
    <mergeCell ref="G4:H4"/>
    <mergeCell ref="C5:D5"/>
    <mergeCell ref="E5:F5"/>
    <mergeCell ref="G5:H5"/>
    <mergeCell ref="C6: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2026-10-27T07:24:57Z</dcterms:created>
  <dc:creator>openpyxl</dc:creator>
  <dc:description/>
  <dc:language>en-US</dc:language>
  <cp:lastModifiedBy/>
  <dcterms:modified xsi:type="dcterms:W3CDTF">2026-10-29T15:44:05Z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