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est case List" sheetId="2" r:id="rId6"/>
    <sheet state="visible" name="TestDesign" sheetId="3" r:id="rId7"/>
    <sheet state="visible" name="Tạo tài khoản hệ thống" sheetId="4" r:id="rId8"/>
    <sheet state="visible" name="Tìm kiếm và chỉnh sửa tài khoản" sheetId="5" r:id="rId9"/>
    <sheet state="visible" name="Quản lý danh mục hệ thống" sheetId="6" r:id="rId10"/>
    <sheet state="visible" name="Test Report " sheetId="7" r:id="rId11"/>
  </sheets>
  <definedNames>
    <definedName name="LOCAL_DATE_SEPARATOR">#REF!</definedName>
    <definedName name="LOCAL_SECOND_FORMAT">#REF!</definedName>
    <definedName name="LOCAL_MONTH_FORMAT">#REF!</definedName>
    <definedName name="LOCAL_TIME_SEPARATOR">#REF!</definedName>
    <definedName name="ACTION">#REF!</definedName>
    <definedName name="LOCAL_YEAR_FORMAT">#REF!</definedName>
    <definedName name="LOCAL_MINUTE_FORMAT">#REF!</definedName>
    <definedName name="LOCAL_HOUR_FORMAT">#REF!</definedName>
    <definedName name="LOCAL_DAY_FORMA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ID#AAAAHWfBFzA
    (2020-11-28 06:09:48)
*A: Add
  M: Modify
  D: Delete</t>
      </text>
    </comment>
  </commentList>
</comments>
</file>

<file path=xl/sharedStrings.xml><?xml version="1.0" encoding="utf-8"?>
<sst xmlns="http://schemas.openxmlformats.org/spreadsheetml/2006/main" count="1079" uniqueCount="554">
  <si>
    <t>Requirement Level 1</t>
  </si>
  <si>
    <t xml:space="preserve"> </t>
  </si>
  <si>
    <t>Requirement Level 2</t>
  </si>
  <si>
    <t>TEST CASE LIST</t>
  </si>
  <si>
    <t>Requirement Level 3</t>
  </si>
  <si>
    <t>Test Criteria</t>
  </si>
  <si>
    <t>TEST CASE</t>
  </si>
  <si>
    <t>Test Type</t>
  </si>
  <si>
    <t>Note</t>
  </si>
  <si>
    <t>1. Tạo tài khoản hệ thống</t>
  </si>
  <si>
    <t>1.1. Điều hướng &amp; Hiển thị form</t>
  </si>
  <si>
    <t>Project Name</t>
  </si>
  <si>
    <t>Đăng nhập &amp; Điều hướng</t>
  </si>
  <si>
    <t>Module Code</t>
  </si>
  <si>
    <t>Kiểm tra đăng nhập Admin, truy cập module Admin &gt; User Management &gt; Users và mở form [+ Add]</t>
  </si>
  <si>
    <t>Admin – Quản trị hệ thống</t>
  </si>
  <si>
    <t>Function</t>
  </si>
  <si>
    <t>OrangeHRM – Module Admin</t>
  </si>
  <si>
    <t>Pass</t>
  </si>
  <si>
    <t>Hiển thị form</t>
  </si>
  <si>
    <t>Kiểm tra bố cục form Add User, giá trị mặc định và danh sách lựa chọn của User Role, Status</t>
  </si>
  <si>
    <t>GUI</t>
  </si>
  <si>
    <t>Creator</t>
  </si>
  <si>
    <t>Ngô Thanh Vy</t>
  </si>
  <si>
    <t>Test requirement</t>
  </si>
  <si>
    <t>F13. Tạo tài khoản hệ thống</t>
  </si>
  <si>
    <t>Hủy thao tác</t>
  </si>
  <si>
    <t>Project Code</t>
  </si>
  <si>
    <t>Kiểm tra nút [Cancel] hủy việc tạo tài khoản và không lưu dữ liệu</t>
  </si>
  <si>
    <t>OHRM_ADM</t>
  </si>
  <si>
    <t>Fail</t>
  </si>
  <si>
    <t>Reviewer/Approver</t>
  </si>
  <si>
    <t>Trần Thị Thanh Nga</t>
  </si>
  <si>
    <t>1.2. Tạo tài khoản hợp lệ</t>
  </si>
  <si>
    <t>Tạo theo vai trò &amp; trạng thái</t>
  </si>
  <si>
    <t>Req ID</t>
  </si>
  <si>
    <t>Kiểm tra tạo tài khoản thành công với các tổ hợp User Role (Admin/ESS) và Status (Enabled/Disabled)</t>
  </si>
  <si>
    <t>REQ-ADM-01</t>
  </si>
  <si>
    <t>Document Code</t>
  </si>
  <si>
    <t>Hiệu lực tài khoản sau khi tạo</t>
  </si>
  <si>
    <t>Kiểm tra tài khoản Enabled đăng nhập được, tài khoản Disabled bị chặn đăng nhập</t>
  </si>
  <si>
    <t>Pending</t>
  </si>
  <si>
    <t>OHRM_ADM_TestCase_V1.0</t>
  </si>
  <si>
    <t>Tester</t>
  </si>
  <si>
    <t>1.3. Trường Employee Name</t>
  </si>
  <si>
    <t>Gợi ý nhân viên</t>
  </si>
  <si>
    <t>Kiểm tra gợi ý (autocomplete) khi nhập Employee Name và chọn nhân viên từ danh sách</t>
  </si>
  <si>
    <t>Untested</t>
  </si>
  <si>
    <t>Employee không hợp lệ</t>
  </si>
  <si>
    <t>Issue Date</t>
  </si>
  <si>
    <t>Kiểm tra nhập nhân viên không tồn tại và nhân viên đã có tài khoản hệ thống</t>
  </si>
  <si>
    <t>1.4. Kiểm tra trường bắt buộc</t>
  </si>
  <si>
    <t>Bỏ trống dữ liệu</t>
  </si>
  <si>
    <t>Kiểm tra hệ thống báo lỗi "Required" khi bỏ trống các trường bắt buộc</t>
  </si>
  <si>
    <t>Test Environment Setup Description</t>
  </si>
  <si>
    <t>N/A</t>
  </si>
  <si>
    <t>1.5. Kiểm tra trường Username</t>
  </si>
  <si>
    <t>Trùng lặp Username</t>
  </si>
  <si>
    <t>Kiểm tra hệ thống chặn Username đã tồn tại (kể cả khác chữ hoa/thường)</t>
  </si>
  <si>
    <t>Number of Test cases</t>
  </si>
  <si>
    <t>1. Application Under Test (AUT): Website OrangeHRM Live Demo – module Admin (https://opensource-demo.orangehrmlive.com/web/index.php/auth/login).
2. Web Browser: Google Chrome (bản cập nhật ổn định); có thể kiểm tra bổ sung Edge nếu nằm trong phạm vi.
3. Operating System: Windows 10/11 64-bit.
4. Screen Resolution: 1920×1080 (Desktop); responsive/mobile chỉ kiểm tra nếu thuộc phạm vi.
5. Automation Testing Tool: Chưa cố định; có thể dùng kiểm thử thủ công và công cụ được nhóm thống nhất.
6. Network Environment: Kết nối Internet ổn định; ghi nhận lỗi mạng nếu ảnh hưởng kết quả.
7. Test Data &amp; Accounts: Tài khoản quản trị demo Admin / admin123 (hiển thị trên trang đăng nhập); dữ liệu thử dùng tiền tố "g10tv5_" (Username) và "G10TV5" (danh mục), mật khẩu thử Test@12345.
8. Safety: Demo dùng chung và được reset định kỳ; không sửa/xóa/vô hiệu hóa tài khoản Admin mặc định và dữ liệu không do nhóm tạo; không nhập dữ liệu cá nhân thật; dọn dữ liệu kiểm thử sau khi chạy.</t>
  </si>
  <si>
    <t>Version</t>
  </si>
  <si>
    <t>1.0</t>
  </si>
  <si>
    <t>Giá trị biên độ dài Username</t>
  </si>
  <si>
    <t>Kiểm tra giá trị biên độ dài Username: 4 / 5 / 40 / 41 ký tự (cho phép 5-40 ký tự)</t>
  </si>
  <si>
    <t>Ký tự đặc biệt &amp; bảo mật</t>
  </si>
  <si>
    <t>Kiểm tra hệ thống xử lý an toàn khi nhập mã script vào trường Username (XSS)</t>
  </si>
  <si>
    <t>Security</t>
  </si>
  <si>
    <t>1.6. Kiểm tra trường Password</t>
  </si>
  <si>
    <t>Độ dài mật khẩu</t>
  </si>
  <si>
    <t>Kiểm tra giá trị biên độ dài Password: 6 / 7 / 65 ký tự (cho phép 7-64 ký tự)</t>
  </si>
  <si>
    <t>Độ mạnh mật khẩu</t>
  </si>
  <si>
    <t>Kiểm tra hệ thống áp dụng chính sách độ mạnh mật khẩu (bắt buộc có chữ số)</t>
  </si>
  <si>
    <t>Record of change</t>
  </si>
  <si>
    <t>Xác nhận mật khẩu</t>
  </si>
  <si>
    <t>Kiểm tra Confirm Password phải trùng khớp với Password</t>
  </si>
  <si>
    <t>Hiển thị &amp; bảo mật mật khẩu</t>
  </si>
  <si>
    <t>Kiểm tra mật khẩu được che khi nhập và thanh đánh giá độ mạnh mật khẩu</t>
  </si>
  <si>
    <t>Effective Date</t>
  </si>
  <si>
    <t>1.7. Phân quyền truy cập</t>
  </si>
  <si>
    <t>Giới hạn quyền của ESS</t>
  </si>
  <si>
    <t>Change Item</t>
  </si>
  <si>
    <t>Kiểm tra tài khoản User Role "ESS" không truy cập được chức năng quản trị tài khoản</t>
  </si>
  <si>
    <t>*A,D,M</t>
  </si>
  <si>
    <t>No</t>
  </si>
  <si>
    <t>Change description</t>
  </si>
  <si>
    <t>Reference</t>
  </si>
  <si>
    <t>Function Name</t>
  </si>
  <si>
    <t>Sheet Name</t>
  </si>
  <si>
    <t>Description</t>
  </si>
  <si>
    <t>Pre-Condition</t>
  </si>
  <si>
    <t>All</t>
  </si>
  <si>
    <t>A</t>
  </si>
  <si>
    <t>Admin_User_Create</t>
  </si>
  <si>
    <t>Khởi tạo bộ tài liệu Thiết kế và Chi tiết Test Case cho 3 chức năng của module Admin:
1. Tạo tài khoản hệ thống (Admin_User_Create)
2. Tìm kiếm và chỉnh sửa tài khoản (Admin_User_Search_Edit)
3. Quản lý danh mục hệ thống (Admin_System_Catalog)</t>
  </si>
  <si>
    <t>2. Tìm kiếm và chỉnh sửa tài khoản</t>
  </si>
  <si>
    <t>2.1. Màn hình System Users</t>
  </si>
  <si>
    <t>REQ-ADM-01 Software Requirement Specification</t>
  </si>
  <si>
    <t>Hiển thị màn hình</t>
  </si>
  <si>
    <t>Kiểm tra bố cục khu vực tìm kiếm, bảng kết quả và danh sách mặc định</t>
  </si>
  <si>
    <t>Cancel</t>
  </si>
  <si>
    <t>Tạo tài khoản hệ thống</t>
  </si>
  <si>
    <t>2.2. Tìm kiếm theo từng tiêu chí</t>
  </si>
  <si>
    <t>Tìm theo Username</t>
  </si>
  <si>
    <t>Kiểm tra tìm kiếm theo Username: khớp chính xác và khớp một phần (không phân biệt hoa/thường)</t>
  </si>
  <si>
    <t>Tìm theo User Role</t>
  </si>
  <si>
    <t>Kiểm tra lọc danh sách theo User Role (Admin, ESS)</t>
  </si>
  <si>
    <t>Tìm theo Employee Name</t>
  </si>
  <si>
    <t>Kiểm tra tìm kiếm theo Employee Name chọn từ danh sách gợi ý</t>
  </si>
  <si>
    <t>Điều hướng module Admin, mở form Add User, nhập User Role/Employee
Name/Status/Username/Password; kiểm tra tạo hợp lệ, bắt buộc, giá trị biên,
trùng lặp, bảo mật và phân quyền.</t>
  </si>
  <si>
    <t>Tìm theo Status</t>
  </si>
  <si>
    <t>Kiểm tra lọc danh sách theo Status (Enabled, Disabled)</t>
  </si>
  <si>
    <t>Đã đăng nhập Admin/admin123 trên OrangeHRM Live Demo; 
có nhân viên chưa được gán tài khoản; dữ liệu thử dùng tiền tố "g10tv5_".</t>
  </si>
  <si>
    <t>Kết hợp nhiều điều kiện</t>
  </si>
  <si>
    <t>Kiểm tra tìm kiếm kết hợp nhiều tiêu chí (điều kiện AND)</t>
  </si>
  <si>
    <t>Test Case ID</t>
  </si>
  <si>
    <t>Admin_User_Search_Edit</t>
  </si>
  <si>
    <t>Test Case Description</t>
  </si>
  <si>
    <t>Test Case Procedure</t>
  </si>
  <si>
    <t>Tìm kiếm và chỉnh sửa tài khoản</t>
  </si>
  <si>
    <t>2.3. Tìm kiếm không có kết quả &amp; dữ liệu không hợp lệ</t>
  </si>
  <si>
    <t>Không có kết quả</t>
  </si>
  <si>
    <t>Kiểm tra thông báo khi không tìm thấy bản ghi phù hợp</t>
  </si>
  <si>
    <t>Expected Output</t>
  </si>
  <si>
    <t>Inter-test case Dependence</t>
  </si>
  <si>
    <t>Result</t>
  </si>
  <si>
    <t>Dữ liệu không hợp lệ</t>
  </si>
  <si>
    <t>Test date</t>
  </si>
  <si>
    <t>Kiểm tra hệ thống xử lý an toàn với dữ liệu nhập sai/độc hại khi tìm kiếm</t>
  </si>
  <si>
    <t>Tìm kiếm tài khoản theo Username/User Role/Employee Name/Status
,Reset, sắp xếp; mở form Edit User, cập nhật, kiểm tra dữ liệu không hợp lệ
và xóa tài khoản kiểm thử.</t>
  </si>
  <si>
    <t>Đã đăng nhập Admin; đã có các tài khoản kiểm thử từ chức năng
F13 (g10tv5_admin01, g10tv5_ess01, g10tv5_off01).</t>
  </si>
  <si>
    <t>Priority</t>
  </si>
  <si>
    <t>2.4. Đặt lại bộ lọc &amp; Sắp xếp</t>
  </si>
  <si>
    <t>Đặt lại bộ lọc</t>
  </si>
  <si>
    <t>Kiểm tra nút [Reset] xóa điều kiện lọc và tải lại toàn bộ danh sách</t>
  </si>
  <si>
    <t>Admin_System_Catalog</t>
  </si>
  <si>
    <t>Quản lý danh mục hệ thống</t>
  </si>
  <si>
    <t>Chrome</t>
  </si>
  <si>
    <t>Sắp xếp danh sách</t>
  </si>
  <si>
    <t>Kiểm tra sắp xếp danh sách theo cột Username tăng dần/giảm dần</t>
  </si>
  <si>
    <t>Quản lý các danh mục dùng chung (Job Titles, Employment Status, Skills,
Nationalities): hiển thị, thêm, sửa, xóa, kiểm tra bắt buộc, trùng tên, giá trị
biên và tệp đính kèm.</t>
  </si>
  <si>
    <t>Đã đăng nhập Admin; có quyền truy cập menu Admin &gt; Job / Qualifications / Nationalities;
có tệp PDF thử (&lt;1MB và &gt;1MB) và tệp .jpg/.exe.</t>
  </si>
  <si>
    <t>2.5. Mở form chỉnh sửa</t>
  </si>
  <si>
    <t>Mở form Edit User</t>
  </si>
  <si>
    <t>Kiểm tra click icon [Edit] mở form Edit User với dữ liệu hiện tại của tài khoản</t>
  </si>
  <si>
    <t>2.6. Cập nhật thông tin hợp lệ</t>
  </si>
  <si>
    <t>Cập nhật vai trò &amp; trạng thái</t>
  </si>
  <si>
    <t>Kiểm tra cập nhật User Role và Status của tài khoản</t>
  </si>
  <si>
    <t>Cập nhật Username &amp; Password</t>
  </si>
  <si>
    <t>Kiểm tra đổi Username và đổi mật khẩu cho tài khoản đã có</t>
  </si>
  <si>
    <t>2.7. Kiểm tra dữ liệu khi chỉnh sửa</t>
  </si>
  <si>
    <t>Kiểm tra Username</t>
  </si>
  <si>
    <t>Kiểm tra validate Username khi chỉnh sửa: trùng lặp, độ dài tối thiểu, bỏ trống</t>
  </si>
  <si>
    <t>Kiểm tra Employee Name &amp; Password</t>
  </si>
  <si>
    <t>Kiểm tra validate Employee Name và Password khi chỉnh sửa</t>
  </si>
  <si>
    <t>Hủy chỉnh sửa</t>
  </si>
  <si>
    <t>Kiểm tra nút [Cancel] không lưu thay đổi khi chỉnh sửa</t>
  </si>
  <si>
    <t>2.8. Xóa tài khoản kiểm thử</t>
  </si>
  <si>
    <t>Xóa tài khoản</t>
  </si>
  <si>
    <t>Kiểm tra hộp thoại xác nhận xóa và xóa thành công tài khoản kiểm thử để dọn dữ liệu</t>
  </si>
  <si>
    <t>3. Quản lý danh mục hệ thống</t>
  </si>
  <si>
    <t>3.1. Job Titles - Điều hướng &amp; Hiển thị</t>
  </si>
  <si>
    <t>Điều hướng</t>
  </si>
  <si>
    <t>Kiểm tra truy cập danh mục Job Titles từ menu Admin &gt; Job</t>
  </si>
  <si>
    <t>Kiểm tra bố cục form Add Job Title</t>
  </si>
  <si>
    <t>TC_ADM_CREATE_001</t>
  </si>
  <si>
    <t>Kiểm tra đăng nhập bằng tài khoản Admin và truy cập module Admin</t>
  </si>
  <si>
    <t>1. Truy cập https://opensource-demo.orangehrmlive.com.
2. Nhập Username "Admin", Password "admin123".
3. Click [Login].
4. Click menu "Admin" ở thanh menu bên trái.</t>
  </si>
  <si>
    <t>Đăng nhập thành công và chuyển đến Dashboard. Sau khi chọn menu Admin, hệ thống hiển thị trang Admin &gt; User Management &gt; Users với tiêu đề "System Users" và danh sách tài khoản.</t>
  </si>
  <si>
    <t>3.2. Job Titles - Thêm mới</t>
  </si>
  <si>
    <t>Thêm mới hợp lệ</t>
  </si>
  <si>
    <t>Kiểm tra thêm Job Title thành công với dữ liệu tối thiểu, dữ liệu đầy đủ và có tệp đính kèm</t>
  </si>
  <si>
    <t>Kiểm tra validate Job Title: bỏ trống, trùng tên, giá trị biên 100/101 ký tự, tệp quá dung lượng/sai định dạng</t>
  </si>
  <si>
    <t>Kiểm tra nút [Cancel] không lưu dữ liệu khi thêm mới</t>
  </si>
  <si>
    <t>3.3. Job Titles - Sửa &amp; Xóa</t>
  </si>
  <si>
    <t>Chỉnh sửa Job Title</t>
  </si>
  <si>
    <t>Kiểm tra cập nhật Job Title và chặn đổi thành tên đã tồn tại</t>
  </si>
  <si>
    <t>Xóa Job Title</t>
  </si>
  <si>
    <t>Kiểm tra xóa Job Title thành công và chặn xóa khi đang được sử dụng</t>
  </si>
  <si>
    <t>3.4. Employment Status</t>
  </si>
  <si>
    <t>Thêm mới Employment Status</t>
  </si>
  <si>
    <t>High</t>
  </si>
  <si>
    <t>Kiểm tra thêm Employment Status (Admin &gt; Job &gt; Employment Status): hợp lệ, bỏ trống, trùng tên, vượt độ dài</t>
  </si>
  <si>
    <t>Positive</t>
  </si>
  <si>
    <t>Sửa &amp; Xóa Employment Status</t>
  </si>
  <si>
    <t>Kiểm tra cập nhật và xóa Employment Status</t>
  </si>
  <si>
    <t>TC_ADM_CREATE_002</t>
  </si>
  <si>
    <t>Kiểm tra click nút [+ Add] mở form thêm tài khoản hệ thống</t>
  </si>
  <si>
    <t>1. Tại trang System Users, click nút [+ Add].
2. Quan sát phản hồi của hệ thống.</t>
  </si>
  <si>
    <t>Hệ thống chuyển sang trang Add User (/admin/saveSystemUser), hiển thị tiêu đề "Add User"; trang tải đầy đủ, không phát sinh lỗi.</t>
  </si>
  <si>
    <t>3.5. Skills &amp; Nationalities</t>
  </si>
  <si>
    <t>Danh mục Skills</t>
  </si>
  <si>
    <t>Kiểm tra thêm Skill (Admin &gt; Qualifications &gt; Skills) hợp lệ và khi bỏ trống Name</t>
  </si>
  <si>
    <t>Danh mục Nationalities</t>
  </si>
  <si>
    <t>Kiểm tra thêm Nationality (Admin &gt; Nationalities) hợp lệ</t>
  </si>
  <si>
    <t>Xóa nhiều bản ghi</t>
  </si>
  <si>
    <t>Kiểm tra xóa đồng thời nhiều bản ghi danh mục bằng checkbox và nút [Delete Selected]</t>
  </si>
  <si>
    <t>TC_ADM_CREATE_003</t>
  </si>
  <si>
    <t>Kiểm tra bố cục giao diện form Add User</t>
  </si>
  <si>
    <t>Quan sát toàn bộ form Add User.</t>
  </si>
  <si>
    <t>Hiển thị đầy đủ các trường: User Role*, Employee Name*, Status*, Username*, Password*, Confirm Password*; có chú thích "* Required"; có nút [Cancel] và [Save]. Các trường bắt buộc có dấu *, bố cục căn chỉnh đúng thiết kế.</t>
  </si>
  <si>
    <t>Medium</t>
  </si>
  <si>
    <t>TC_ADM_CREATE_004</t>
  </si>
  <si>
    <t>Kiểm tra giá trị mặc định và danh sách lựa chọn của dropdown User Role, Status</t>
  </si>
  <si>
    <t>1. Quan sát giá trị mặc định của các trường.
2. Click lần lượt dropdown [User Role] và [Status] để xem danh sách lựa chọn.</t>
  </si>
  <si>
    <t>User Role và Status mặc định "-- Select --"; Employee Name hiển thị placeholder "Type for hints..."; Username, Password, Confirm Password để trống. [User Role] gồm: Admin, ESS; [Status] gồm: Enabled, Disabled.</t>
  </si>
  <si>
    <t>Low</t>
  </si>
  <si>
    <t>TC_ADM_CREATE_005</t>
  </si>
  <si>
    <t>Kiểm tra nút [Cancel] hủy việc tạo tài khoản</t>
  </si>
  <si>
    <t>1. Tại form Add User, nhập Username "g10tv5_cancel" và chọn User Role "ESS".
2. Click [Cancel].
3. Tại trang System Users, tìm kiếm Username "g10tv5_cancel".</t>
  </si>
  <si>
    <t>Hệ thống quay lại trang System Users, không hiển thị thông báo lưu. Tìm kiếm không có kết quả ("No Records Found") - tài khoản không được tạo.</t>
  </si>
  <si>
    <t>TC_ADM_CREATE_006</t>
  </si>
  <si>
    <t>Kiểm tra tạo tài khoản User Role "Admin", Status "Enabled" với dữ liệu hợp lệ</t>
  </si>
  <si>
    <t>1. Tại form Add User, chọn User Role "Admin".
2. Nhập Employee Name: gõ ký tự đầu và chọn 1 nhân viên chưa có tài khoản trong danh sách gợi ý.
3. Chọn Status "Enabled".
4. Nhập Username "g10tv5_admin01", Password "Test@12345", Confirm Password "Test@12345".
5. Click [Save].</t>
  </si>
  <si>
    <t>Hiển thị thông báo "Successfully Saved"; hệ thống quay lại trang System Users; tài khoản "g10tv5_admin01" xuất hiện trong danh sách với User Role "Admin", Status "Enabled" và đúng Employee Name đã chọn.</t>
  </si>
  <si>
    <t>TC_ADM_CREATE_007</t>
  </si>
  <si>
    <t>Kiểm tra tạo tài khoản User Role "ESS", Status "Enabled" với dữ liệu hợp lệ</t>
  </si>
  <si>
    <t>1. Tại form Add User, chọn User Role "ESS".
2. Chọn 1 nhân viên chưa có tài khoản ở Employee Name.
3. Chọn Status "Enabled".
4. Nhập Username "g10tv5_ess01", Password "Test@12345", Confirm Password "Test@12345".
5. Click [Save].</t>
  </si>
  <si>
    <t>Hiển thị thông báo "Successfully Saved"; tài khoản "g10tv5_ess01" xuất hiện trong danh sách với User Role "ESS", Status "Enabled".</t>
  </si>
  <si>
    <t>TC_ADM_CREATE_008</t>
  </si>
  <si>
    <t>Kiểm tra tạo tài khoản với Status "Disabled"</t>
  </si>
  <si>
    <t>1. Tại form Add User, chọn User Role "ESS", chọn 1 nhân viên chưa có tài khoản.
2. Chọn Status "Disabled".
3. Nhập Username "g10tv5_off01", Password "Test@12345", Confirm Password "Test@12345".
4. Click [Save].</t>
  </si>
  <si>
    <t>Hiển thị thông báo "Successfully Saved"; tài khoản "g10tv5_off01" xuất hiện trong danh sách với Status "Disabled".</t>
  </si>
  <si>
    <t>TC_ADM_CREATE_009</t>
  </si>
  <si>
    <t>Kiểm tra đăng nhập bằng tài khoản ESS vừa tạo (Status "Enabled")</t>
  </si>
  <si>
    <t>1. Đăng xuất (click tên người dùng góc phải &gt; Logout).
2. Đăng nhập với Username "g10tv5_ess01", Password "Test@12345".</t>
  </si>
  <si>
    <t>Đăng nhập thành công, chuyển đến Dashboard; tên người dùng hiển thị đúng theo nhân viên đã gán cho tài khoản.</t>
  </si>
  <si>
    <t>TC_ADM_CREATE_010</t>
  </si>
  <si>
    <t>Kiểm tra không đăng nhập được bằng tài khoản có Status "Disabled"</t>
  </si>
  <si>
    <t>1. Đăng xuất.
2. Đăng nhập với Username "g10tv5_off01", Password "Test@12345".</t>
  </si>
  <si>
    <t>Đăng nhập thất bại, hiển thị thông báo lỗi "Account disabled"; người dùng không vào được hệ thống.</t>
  </si>
  <si>
    <t>Negative</t>
  </si>
  <si>
    <t>TC_ADM_CREATE_011</t>
  </si>
  <si>
    <t>Kiểm tra hiển thị gợi ý (autocomplete) khi nhập Employee Name</t>
  </si>
  <si>
    <t>1. Click ô Employee Name, nhập 1-2 ký tự (VD: "a").
2. Quan sát danh sách gợi ý.
3. Chọn một nhân viên trong danh sách.</t>
  </si>
  <si>
    <t>Hiển thị danh sách nhân viên khớp từ khóa; khi chọn, họ tên đầy đủ của nhân viên được điền vào ô Employee Name.</t>
  </si>
  <si>
    <t>TC_ADM_CREATE_012</t>
  </si>
  <si>
    <t>Kiểm tra nhập Employee Name không tồn tại trong hệ thống</t>
  </si>
  <si>
    <t>1. Nhập Employee Name "zzzxxx999" (không chọn từ gợi ý).
2. Điền các trường còn lại hợp lệ.
3. Click [Save].</t>
  </si>
  <si>
    <t>Danh sách gợi ý hiển thị "No Records Found"; ô Employee Name báo lỗi "Invalid"; tài khoản không được tạo.</t>
  </si>
  <si>
    <t>TC_ADM_CREATE_013</t>
  </si>
  <si>
    <t>Kiểm tra tạo tài khoản cho nhân viên đã có tài khoản hệ thống</t>
  </si>
  <si>
    <t>1. Chọn Employee Name là nhân viên đã được gán cho tài khoản "g10tv5_ess01".
2. Điền các trường còn lại hợp lệ với Username mới "g10tv5_dupemp".
3. Click [Save].</t>
  </si>
  <si>
    <t>Hệ thống không cho tạo; hiển thị lỗi tại ô Employee Name (nhân viên đã có tài khoản, VD: "Already exists"); không phát sinh bản ghi mới trong danh sách.</t>
  </si>
  <si>
    <t>TC_ADM_CREATE_014</t>
  </si>
  <si>
    <t>Kiểm tra bấm [Save] khi bỏ trống toàn bộ các trường</t>
  </si>
  <si>
    <t>1. Mở form Add User, không nhập dữ liệu.
2. Click [Save].</t>
  </si>
  <si>
    <t>Hệ thống không lưu dữ liệu; hiển thị thông báo "Required" màu đỏ dưới 6 trường: User Role, Employee Name, Status, Username, Password, Confirm Password; vẫn ở trang Add User.</t>
  </si>
  <si>
    <t>TC_ADM_CREATE_015</t>
  </si>
  <si>
    <t>Kiểm tra bấm [Save] khi chỉ bỏ trống Password và Confirm Password</t>
  </si>
  <si>
    <t>1. Chọn User Role "ESS", chọn Employee Name, chọn Status "Enabled", nhập Username "g10tv5_nopass".
2. Để trống Password và Confirm Password.
3. Click [Save].</t>
  </si>
  <si>
    <t>Không lưu dữ liệu; hiển thị "Required" tại ô Password và Confirm Password; các trường đã nhập được giữ nguyên.</t>
  </si>
  <si>
    <t>TC_ADM_CREATE_016</t>
  </si>
  <si>
    <t>Kiểm tra tạo tài khoản với Username đã tồn tại</t>
  </si>
  <si>
    <t>1. Nhập Username "Admin" (đã tồn tại).
2. Điền các trường còn lại hợp lệ.
3. Click [Save].</t>
  </si>
  <si>
    <t>Ô Username hiển thị lỗi "Username already exists"; tài khoản không được tạo.</t>
  </si>
  <si>
    <t>TC_ADM_CREATE_017</t>
  </si>
  <si>
    <t>Kiểm tra Username trùng nhưng khác chữ hoa/thường</t>
  </si>
  <si>
    <t>1. Nhập Username "ADMIN".
2. Điền các trường còn lại hợp lệ.
3. Click [Save].</t>
  </si>
  <si>
    <t>Hệ thống xem là Username đã tồn tại (không phân biệt hoa/thường), hiển thị "Username already exists"; tài khoản không được tạo.</t>
  </si>
  <si>
    <t>Edge case</t>
  </si>
  <si>
    <t>TC_ADM_CREATE_018</t>
  </si>
  <si>
    <t>Kiểm tra Username có 4 ký tự (nhỏ hơn giá trị tối thiểu)</t>
  </si>
  <si>
    <t>1. Nhập Username "g10t" (4 ký tự).
2. Điền các trường còn lại hợp lệ.
3. Click [Save].</t>
  </si>
  <si>
    <t>Ô Username hiển thị lỗi "Should be at least 5 characters"; tài khoản không được tạo.</t>
  </si>
  <si>
    <t>TC_ADM_CREATE_019</t>
  </si>
  <si>
    <t>Kiểm tra Username có đúng 5 ký tự (giá trị tối thiểu)</t>
  </si>
  <si>
    <t>1. Nhập Username "g10t5" (5 ký tự).
2. Điền các trường còn lại hợp lệ (chọn nhân viên chưa có tài khoản).
3. Click [Save].</t>
  </si>
  <si>
    <t>Hiển thị "Successfully Saved"; tài khoản "g10t5" được tạo và hiển thị trong danh sách.</t>
  </si>
  <si>
    <t>TC_ADM_CREATE_020</t>
  </si>
  <si>
    <t>Kiểm tra Username có đúng 40 ký tự (giá trị tối đa)</t>
  </si>
  <si>
    <t>1. Nhập Username gồm 40 ký tự: "g10tv5_uuuuuuuuuuuuuuuuuuuuuuuuuuuuuuuuu".
2. Điền các trường còn lại hợp lệ (chọn nhân viên chưa có tài khoản).
3. Click [Save].</t>
  </si>
  <si>
    <t>Hiển thị "Successfully Saved"; tài khoản được tạo với đầy đủ 40 ký tự, hiển thị đúng trong danh sách.</t>
  </si>
  <si>
    <t>TC_ADM_CREATE_021</t>
  </si>
  <si>
    <t>Kiểm tra Username có 41 ký tự (vượt quá giá trị tối đa)</t>
  </si>
  <si>
    <t>1. Nhập Username gồm 41 ký tự: "g10tv5_uuuuuuuuuuuuuuuuuuuuuuuuuuuuuuuuux".
2. Điền các trường còn lại hợp lệ.
3. Click [Save].</t>
  </si>
  <si>
    <t>Ô Username hiển thị lỗi "Should not exceed 40 characters"; tài khoản không được tạo.</t>
  </si>
  <si>
    <t>TC_ADM_CREATE_022</t>
  </si>
  <si>
    <t>Kiểm tra nhập mã script (XSS) vào ô Username</t>
  </si>
  <si>
    <t>1. Nhập Username "&lt;script&gt;alert('xss')&lt;/script&gt;".
2. Điền các trường còn lại hợp lệ.
3. Click [Save].
4. Quan sát trang System Users.</t>
  </si>
  <si>
    <t>Hệ thống không thực thi script (không xuất hiện hộp thoại alert); dữ liệu được từ chối hoặc lưu dưới dạng văn bản thuần; không phát sinh lỗi hệ thống (HTTP 500); danh sách hiển thị bình thường.</t>
  </si>
  <si>
    <t>TC_ADM_CREATE_023</t>
  </si>
  <si>
    <t>Kiểm tra Password có 6 ký tự (nhỏ hơn giá trị tối thiểu)</t>
  </si>
  <si>
    <t>1. Nhập Password và Confirm Password "Ab@123" (6 ký tự).
2. Điền các trường còn lại hợp lệ.
3. Click [Save].</t>
  </si>
  <si>
    <t>Ô Password hiển thị lỗi "Should have at least 7 characters"; tài khoản không được tạo.</t>
  </si>
  <si>
    <t>TC_ADM_CREATE_024</t>
  </si>
  <si>
    <t>Kiểm tra Password có đúng 7 ký tự (giá trị tối thiểu) và đạt yêu cầu độ mạnh</t>
  </si>
  <si>
    <t>1. Nhập Password và Confirm Password "Ab@1234" (7 ký tự).
2. Nhập Username "g10tv5_pw7", điền các trường còn lại hợp lệ.
3. Click [Save].</t>
  </si>
  <si>
    <t>Hiển thị "Successfully Saved"; tài khoản "g10tv5_pw7" được tạo thành công.</t>
  </si>
  <si>
    <t>TC_ADM_CREATE_025</t>
  </si>
  <si>
    <t>Kiểm tra Password có 65 ký tự (vượt quá giá trị tối đa)</t>
  </si>
  <si>
    <t>1. Nhập Password và Confirm Password là chuỗi 65 ký tự (VD: "Test@123" + 57 ký tự "a").
2. Điền các trường còn lại hợp lệ.
3. Click [Save].</t>
  </si>
  <si>
    <t>Ô Password hiển thị lỗi "Should not exceed 64 characters"; tài khoản không được tạo.</t>
  </si>
  <si>
    <t>TC_ADM_CREATE_026</t>
  </si>
  <si>
    <t>Kiểm tra Password không chứa chữ số (không đạt chính sách mật khẩu)</t>
  </si>
  <si>
    <t>1. Nhập Password và Confirm Password "Abcdefgh".
2. Điền các trường còn lại hợp lệ.
3. Click [Save].</t>
  </si>
  <si>
    <t>Hệ thống báo lỗi tại ô Password theo chính sách mật khẩu (VD: "Your password must contain minimum 1 number"); tài khoản không được tạo.</t>
  </si>
  <si>
    <t>TC_ADM_CREATE_027</t>
  </si>
  <si>
    <t>Kiểm tra Confirm Password không khớp với Password</t>
  </si>
  <si>
    <t>1. Nhập Password "Test@12345".
2. Nhập Confirm Password "Test@54321".
3. Điền các trường còn lại hợp lệ và click [Save].</t>
  </si>
  <si>
    <t>Ô Confirm Password hiển thị lỗi "Passwords do not match"; tài khoản không được tạo.</t>
  </si>
  <si>
    <t>TC_ADM_CREATE_028</t>
  </si>
  <si>
    <t>Kiểm tra mật khẩu được che (masked) và thanh đánh giá độ mạnh mật khẩu</t>
  </si>
  <si>
    <t>1. Nhập vào ô Password lần lượt: "abc", "Abcdef1", "Test@12345".
2. Quan sát nội dung ô Password và thanh độ mạnh bên dưới.</t>
  </si>
  <si>
    <t>Ký tự nhập vào hiển thị dạng che (•••), không lộ mật khẩu dạng văn bản; thanh độ mạnh thay đổi theo độ phức tạp của mật khẩu (từ mức yếu đến mạnh).</t>
  </si>
  <si>
    <t>TC_ADM_CREATE_029</t>
  </si>
  <si>
    <t>Kiểm tra tài khoản User Role "ESS" không truy cập được module Admin</t>
  </si>
  <si>
    <t>1. Đăng nhập bằng tài khoản ESS "g10tv5_ess01".
2. Quan sát thanh menu bên trái.
3. Truy cập trực tiếp URL: https://opensource-demo.orangehrmlive.com/web/index.php/admin/viewSystemUsers.</t>
  </si>
  <si>
    <t>Menu "Admin" không hiển thị với tài khoản ESS; truy cập trực tiếp URL bị từ chối/chuyển hướng, không hiển thị danh sách tài khoản hệ thống.</t>
  </si>
  <si>
    <t>F14. Tìm kiếm và chỉnh sửa tài khoản</t>
  </si>
  <si>
    <t>TEST REPORT</t>
  </si>
  <si>
    <t>F15. Quản lý danh mục hệ thống</t>
  </si>
  <si>
    <t>OrangeHRM</t>
  </si>
  <si>
    <t>OHRM_ADM_TestReport_v0.1</t>
  </si>
  <si>
    <t>Notes</t>
  </si>
  <si>
    <t>Báo cáo tổng hợp kết quả kiểm thử module Admin (TV5: F13, F14, F15). Cột Blocked lấy từ số case "Pending", cột Skipped lấy từ số case "N/A" của từng sheet.</t>
  </si>
  <si>
    <t>Module code</t>
  </si>
  <si>
    <t>Blocked</t>
  </si>
  <si>
    <t>Skipped</t>
  </si>
  <si>
    <t>Number of  test cases</t>
  </si>
  <si>
    <t>TC_ADM_SEARCH_001</t>
  </si>
  <si>
    <t>Kiểm tra bố cục khu vực tìm kiếm và bảng kết quả</t>
  </si>
  <si>
    <t>1. Đăng nhập Admin, vào Admin &gt; User Management &gt; Users.
2. Quan sát khu vực tìm kiếm và bảng kết quả.</t>
  </si>
  <si>
    <t>Khu vực tìm kiếm gồm: Username, User Role (-- Select --), Employee Name (Type for hints...), Status (-- Select --) và nút [Reset], [Search]. Bảng kết quả gồm các cột: Username, User Role, Employee Name, Status, Actions; có nút [+ Add] và dòng "(n) Records Found".</t>
  </si>
  <si>
    <t>TC_ADM_CATALOG_001</t>
  </si>
  <si>
    <t>Kiểm tra truy cập danh mục Job Titles từ menu Admin</t>
  </si>
  <si>
    <t>1. Đăng nhập bằng tài khoản Admin.
2. Click menu Admin &gt; Job &gt; Job Titles.</t>
  </si>
  <si>
    <t>Hiển thị trang Job Titles gồm nút [+ Add], bảng với các cột Job Titles, Job Description, Actions và dòng "(n) Records Found".</t>
  </si>
  <si>
    <t>TC_ADM_SEARCH_002</t>
  </si>
  <si>
    <t>Kiểm tra danh sách mặc định khi chưa nhập điều kiện lọc</t>
  </si>
  <si>
    <t>Mở trang System Users và quan sát danh sách.</t>
  </si>
  <si>
    <t>Hiển thị toàn bộ tài khoản hệ thống (trong đó có "Admin"); số lượng khớp với dòng "(n) Records Found"; dữ liệu được phân trang khi vượt quá số bản ghi mỗi trang.</t>
  </si>
  <si>
    <t>TC_ADM_CATALOG_002</t>
  </si>
  <si>
    <t>1. Tại trang Job Titles, click [+ Add].
2. Quan sát form.</t>
  </si>
  <si>
    <t>Form "Add Job Title" gồm: Job Title*, Job Description, Job Specification (nút Browse, ghi chú dung lượng tối đa 1MB), Note; có nút [Cancel] và [Save].</t>
  </si>
  <si>
    <t>TC_ADM_SEARCH_003</t>
  </si>
  <si>
    <t>Kiểm tra tìm kiếm theo Username chính xác</t>
  </si>
  <si>
    <t>1. Nhập Username "g10tv5_admin01".
2. Click [Search].</t>
  </si>
  <si>
    <t>Hiển thị "(1) Record Found" với đúng tài khoản "g10tv5_admin01" (User Role "Admin", Status "Enabled", đúng Employee Name).</t>
  </si>
  <si>
    <t>TC_ADM_SEARCH_001
TC_ADM_CREATE_006</t>
  </si>
  <si>
    <t>TC_ADM_SEARCH_004</t>
  </si>
  <si>
    <t>Kiểm tra tìm kiếm theo một phần Username (không phân biệt hoa/thường)</t>
  </si>
  <si>
    <t>1. Nhập Username "G10TV5" (viết hoa).
2. Click [Search].</t>
  </si>
  <si>
    <t>Hiển thị tất cả tài khoản có Username chứa "g10tv5" (không phân biệt hoa/thường), bao gồm: g10tv5_admin01, g10tv5_ess01, g10tv5_off01.</t>
  </si>
  <si>
    <t>TC_ADM_SEARCH_001
TC_ADM_CREATE_008</t>
  </si>
  <si>
    <t>TC_ADM_CATALOG_003</t>
  </si>
  <si>
    <t>Kiểm tra thêm Job Title chỉ với trường bắt buộc</t>
  </si>
  <si>
    <t>1. Click [+ Add].
2. Nhập Job Title "G10TV5 QA Intern".
3. Click [Save].</t>
  </si>
  <si>
    <t>Hiển thị "Successfully Saved"; Job Title "G10TV5 QA Intern" xuất hiện trong danh sách.</t>
  </si>
  <si>
    <t>TC_ADM_CATALOG_004</t>
  </si>
  <si>
    <t>Kiểm tra thêm Job Title với đầy đủ thông tin Title, Description và Note</t>
  </si>
  <si>
    <t>TC_ADM_SEARCH_005</t>
  </si>
  <si>
    <t>Kiểm tra lọc theo User Role "Admin"</t>
  </si>
  <si>
    <t>1. Click [+ Add].
2. Nhập Job Title "G10TV5 Test Analyst".
3. Nhập Job Description "Thực hiện kiểm thử chức năng module Admin".
4. Nhập Note "Dữ liệu kiểm thử Group10".
5. Click [Save].</t>
  </si>
  <si>
    <t>1. Chọn User Role "Admin".
2. Click [Search].</t>
  </si>
  <si>
    <t>Hiển thị "Successfully Saved"; Job Title mới xuất hiện trong danh sách, cột Job Description hiển thị đúng nội dung đã nhập (chữ có dấu hiển thị chính xác).</t>
  </si>
  <si>
    <t>Chỉ hiển thị các tài khoản có User Role "Admin" (có "g10tv5_admin01"); số lượng khớp "(n) Records Found".</t>
  </si>
  <si>
    <t>TC_ADM_SEARCH_006</t>
  </si>
  <si>
    <t>Kiểm tra lọc theo User Role "ESS"</t>
  </si>
  <si>
    <t>TC_ADM_CATALOG_005</t>
  </si>
  <si>
    <t>1. Chọn User Role "ESS".
2. Click [Search].</t>
  </si>
  <si>
    <t>Kiểm tra thêm Job Title kèm Job Specification hợp lệ (PDF dưới 1MB)</t>
  </si>
  <si>
    <t>Chỉ hiển thị các tài khoản có User Role "ESS"; không xuất hiện tài khoản Admin.</t>
  </si>
  <si>
    <t>1. Click [+ Add], nhập Job Title "G10TV5 Spec Test".
2. Tại Job Specification, click [Browse] và chọn tệp PDF dung lượng dưới 1MB.
3. Click [Save].</t>
  </si>
  <si>
    <t>Hiển thị "Successfully Saved"; Job Title được tạo kèm tệp đính kèm; tại danh sách có biểu tượng tải xuống và tệp tải về mở được.</t>
  </si>
  <si>
    <t>TC_ADM_SEARCH_007</t>
  </si>
  <si>
    <t>Kiểm tra tìm kiếm theo Employee Name chọn từ gợi ý</t>
  </si>
  <si>
    <t>1. Tại ô Employee Name, nhập tên nhân viên đã được gán cho "g10tv5_ess01" và chọn từ danh sách gợi ý.
2. Click [Search].</t>
  </si>
  <si>
    <t>Hiển thị đúng tài khoản gắn với nhân viên đã chọn (g10tv5_ess01); không hiển thị tài khoản của nhân viên khác.</t>
  </si>
  <si>
    <t>TC_ADM_SEARCH_001
TC_ADM_CREATE_007</t>
  </si>
  <si>
    <t>TC_ADM_CATALOG_006</t>
  </si>
  <si>
    <t>Kiểm tra bấm [Save] khi bỏ trống Job Title</t>
  </si>
  <si>
    <t>1. Click [+ Add].
2. Để trống Job Title.
3. Click [Save].</t>
  </si>
  <si>
    <t>Ô Job Title hiển thị lỗi "Required"; dữ liệu không được lưu.</t>
  </si>
  <si>
    <t>TC_ADM_CATALOG_007</t>
  </si>
  <si>
    <t>TC_ADM_SEARCH_008</t>
  </si>
  <si>
    <t>Kiểm tra thêm Job Title trùng tên đã tồn tại</t>
  </si>
  <si>
    <t>Kiểm tra lọc theo Status "Enabled"</t>
  </si>
  <si>
    <t>1. Click [+ Add].
2. Nhập Job Title "G10TV5 QA Intern" (đã tạo).
3. Click [Save].</t>
  </si>
  <si>
    <t>1. Chọn Status "Enabled".
2. Click [Search].</t>
  </si>
  <si>
    <t>Ô Job Title hiển thị lỗi "Already exists"; không tạo thêm bản ghi.</t>
  </si>
  <si>
    <t>Chỉ hiển thị các tài khoản có Status "Enabled".</t>
  </si>
  <si>
    <t>TC_ADM_SEARCH_009</t>
  </si>
  <si>
    <t>Kiểm tra lọc theo Status "Disabled"</t>
  </si>
  <si>
    <t>1. Chọn Status "Disabled".
2. Click [Search].</t>
  </si>
  <si>
    <t>TC_ADM_CATALOG_008</t>
  </si>
  <si>
    <t>Sub total</t>
  </si>
  <si>
    <t>Chỉ hiển thị các tài khoản có Status "Disabled" (có "g10tv5_off01").</t>
  </si>
  <si>
    <t>Kiểm tra Job Title có đúng 100 ký tự (giá trị tối đa)</t>
  </si>
  <si>
    <t>1. Click [+ Add].
2. Nhập Job Title gồm 100 ký tự (VD: "G10TV5 " + 93 ký tự "A").
3. Click [Save].</t>
  </si>
  <si>
    <t>Hiển thị "Successfully Saved"; Job Title 100 ký tự được lưu và hiển thị trong danh sách.</t>
  </si>
  <si>
    <t>TC_ADM_CATALOG_009</t>
  </si>
  <si>
    <t>Kiểm tra Job Title có 101 ký tự (vượt quá giá trị tối đa)</t>
  </si>
  <si>
    <t>1. Click [+ Add].
2. Nhập Job Title gồm 101 ký tự (VD: "G10TV5 " + 94 ký tự "A").
3. Click [Save].</t>
  </si>
  <si>
    <t>Ô Job Title hiển thị lỗi "Should not exceed 100 characters"; dữ liệu không được lưu.</t>
  </si>
  <si>
    <t>TC_ADM_SEARCH_010</t>
  </si>
  <si>
    <t>Kiểm tra tìm kiếm kết hợp Username, User Role và Status</t>
  </si>
  <si>
    <t>1. Nhập Username "g10tv5".
2. Chọn User Role "ESS", Status "Disabled".
3. Click [Search].</t>
  </si>
  <si>
    <t>Chỉ hiển thị các tài khoản thỏa đồng thời cả 3 điều kiện (VD: "g10tv5_off01"); các tài khoản khác không xuất hiện.</t>
  </si>
  <si>
    <t>TC_ADM_SEARCH_003
TC_ADM_CREATE_008</t>
  </si>
  <si>
    <t>TC_ADM_CATALOG_010</t>
  </si>
  <si>
    <t>Kiểm tra Job Description có 401 ký tự (vượt quá giá trị tối đa)</t>
  </si>
  <si>
    <t>1. Click [+ Add], nhập Job Title "G10TV5 Long Desc".
2. Nhập Job Description gồm 401 ký tự.
3. Click [Save].</t>
  </si>
  <si>
    <t>Ô Job Description hiển thị lỗi "Should not exceed 400 characters"; dữ liệu không được lưu.</t>
  </si>
  <si>
    <t>TC_ADM_CATALOG_011</t>
  </si>
  <si>
    <t>Kiểm tra tải lên Job Specification vượt quá 1MB</t>
  </si>
  <si>
    <t>1. Click [+ Add], nhập Job Title "G10TV5 Big File".
2. Chọn tệp PDF có dung lượng lớn hơn 1MB tại Job Specification.
3. Click [Save].</t>
  </si>
  <si>
    <t>Hệ thống báo lỗi dung lượng tệp vượt quá giới hạn (VD: "Attachment Size Exceeded"); dữ liệu không được lưu.</t>
  </si>
  <si>
    <t>Test coverage</t>
  </si>
  <si>
    <t>TC_ADM_SEARCH_011</t>
  </si>
  <si>
    <t>Kiểm tra tìm kiếm Username không tồn tại</t>
  </si>
  <si>
    <t>1. Nhập Username "zzz_not_exist_999".
2. Click [Search].</t>
  </si>
  <si>
    <t>Hiển thị thông báo "No Records Found"; bảng kết quả không có dòng dữ liệu nào.</t>
  </si>
  <si>
    <t>TC_ADM_CATALOG_012</t>
  </si>
  <si>
    <t>Kiểm tra tải lên Job Specification sai định dạng tệp (.exe/.jpg)</t>
  </si>
  <si>
    <t>1. Click [+ Add], nhập Job Title "G10TV5 Bad File".
2. Chọn tệp có định dạng không được hỗ trợ (VD: .exe hoặc .jpg).
3. Click [Save].</t>
  </si>
  <si>
    <t>Hệ thống báo lỗi định dạng tệp không được phép (VD: "File type not allowed"); dữ liệu không được lưu.</t>
  </si>
  <si>
    <t>TC_ADM_SEARCH_012</t>
  </si>
  <si>
    <t>Kiểm tra tìm kiếm với chuỗi SQL Injection trong ô Username</t>
  </si>
  <si>
    <t>1. Nhập Username "' OR '1'='1".
2. Click [Search].</t>
  </si>
  <si>
    <t>Hệ thống xử lý như chuỗi thường: hiển thị "No Records Found"; không trả về toàn bộ danh sách, không lộ dữ liệu và không phát sinh lỗi hệ thống.</t>
  </si>
  <si>
    <t>%</t>
  </si>
  <si>
    <t>TC_ADM_CATALOG_013</t>
  </si>
  <si>
    <t>Kiểm tra nút [Cancel] khi thêm Job Title</t>
  </si>
  <si>
    <t>1. Click [+ Add], nhập Job Title "G10TV5 Cancel".
2. Click [Cancel].</t>
  </si>
  <si>
    <t>Hệ thống quay về trang Job Titles; "G10TV5 Cancel" không xuất hiện trong danh sách.</t>
  </si>
  <si>
    <t>TC_ADM_SEARCH_013</t>
  </si>
  <si>
    <t>Kiểm tra nhập Employee Name tự do (không chọn từ gợi ý) rồi tìm kiếm</t>
  </si>
  <si>
    <t>1. Nhập "abc xyz" vào ô Employee Name (không chọn gợi ý).
2. Click [Search].</t>
  </si>
  <si>
    <t>Ô Employee Name hiển thị lỗi "Invalid"; hệ thống không thực hiện tìm kiếm.</t>
  </si>
  <si>
    <t>Test successful coverage</t>
  </si>
  <si>
    <t>TC_ADM_SEARCH_014</t>
  </si>
  <si>
    <t>Kiểm tra nút [Reset] sau khi đã tìm kiếm</t>
  </si>
  <si>
    <t>TC_ADM_CATALOG_014</t>
  </si>
  <si>
    <t>1. Thực hiện tìm kiếm với Username "g10tv5" và Status "Disabled".
2. Click [Reset].</t>
  </si>
  <si>
    <t>Kiểm tra chỉnh sửa tên Job Title hợp lệ</t>
  </si>
  <si>
    <t>Tất cả điều kiện lọc được đưa về mặc định (ô trống / "-- Select --"); danh sách tải lại đầy đủ tài khoản; số lượng "(n) Records Found" cập nhật tương ứng.</t>
  </si>
  <si>
    <t>1. Tại dòng "G10TV5 Test Analyst", click icon bút chì (Edit).
2. Đổi Job Title thành "G10TV5 Test Analyst Sr".
3. Click [Save].</t>
  </si>
  <si>
    <t>Hiển thị "Successfully Updated"; danh sách hiển thị tên mới, không còn tên cũ.</t>
  </si>
  <si>
    <t>TC_ADM_CATALOG_015</t>
  </si>
  <si>
    <t>Kiểm tra đổi tên Job Title thành tên đã tồn tại</t>
  </si>
  <si>
    <t>1. Mở Edit của "G10TV5 Test Analyst Sr".
2. Đổi Job Title thành "G10TV5 QA Intern".
3. Click [Save].</t>
  </si>
  <si>
    <t>Ô Job Title hiển thị lỗi "Already exists"; dữ liệu không được cập nhật.</t>
  </si>
  <si>
    <t>TC_ADM_CATALOG_014
TC_ADM_CATALOG_003</t>
  </si>
  <si>
    <t>TC_ADM_SEARCH_015</t>
  </si>
  <si>
    <t>Kiểm tra sắp xếp danh sách theo Username tăng dần và giảm dần</t>
  </si>
  <si>
    <t>1. Click biểu tượng sắp xếp cạnh tiêu đề cột "Username".
2. Chọn "Ascending", quan sát danh sách.
3. Chọn lại "Descending", quan sát danh sách.</t>
  </si>
  <si>
    <t>Danh sách sắp xếp theo thứ tự bảng chữ cái tăng dần khi chọn Ascending và giảm dần khi chọn Descending; dữ liệu các cột khác đi cùng đúng dòng.</t>
  </si>
  <si>
    <t>TC_ADM_CATALOG_016</t>
  </si>
  <si>
    <t>Kiểm tra xóa Job Title kiểm thử có xác nhận</t>
  </si>
  <si>
    <t>1. Tại dòng "G10TV5 QA Intern", click icon thùng rác (Delete).
2. Tại hộp thoại xác nhận, click [Yes, Delete].</t>
  </si>
  <si>
    <t>Hiển thị "Successfully Deleted"; Job Title biến mất khỏi danh sách.</t>
  </si>
  <si>
    <t>TC_ADM_SEARCH_016</t>
  </si>
  <si>
    <t>Kiểm tra click icon [Edit] mở form Edit User với dữ liệu hiện tại</t>
  </si>
  <si>
    <t>1. Tìm kiếm Username "g10tv5_ess01".
2. Click icon bút chì (Edit) ở cột Actions.</t>
  </si>
  <si>
    <t>Hiển thị trang Edit User; các trường User Role "ESS", Employee Name, Status "Enabled", Username "g10tv5_ess01" được điền sẵn đúng dữ liệu hiện tại; phần mật khẩu không bắt buộc (có tùy chọn đổi mật khẩu).</t>
  </si>
  <si>
    <t>TC_ADM_SEARCH_003
TC_ADM_CREATE_007</t>
  </si>
  <si>
    <t>TC_ADM_CATALOG_017</t>
  </si>
  <si>
    <t>Kiểm tra xóa Job Title đang được gán cho nhân viên</t>
  </si>
  <si>
    <t>1. Chọn một Job Title đang được gán cho nhân viên (VD: Job Title có sẵn trên hệ thống demo).
2. Click icon thùng rác (Delete) và xác nhận.</t>
  </si>
  <si>
    <t>Hệ thống không xóa; hiển thị thông báo bản ghi đang được sử dụng (VD: "Cannot be deleted"); dữ liệu giữ nguyên trong danh sách.</t>
  </si>
  <si>
    <t>TC_ADM_SEARCH_017</t>
  </si>
  <si>
    <t>Kiểm tra đổi User Role của tài khoản từ "Admin" sang "ESS"</t>
  </si>
  <si>
    <t>1. Mở Edit User của "g10tv5_admin01".
2. Đổi User Role thành "ESS".
3. Click [Save].
4. Tìm kiếm lại Username "g10tv5_admin01".</t>
  </si>
  <si>
    <t>Hiển thị "Successfully Updated"; trang quay về danh sách; tài khoản hiển thị User Role "ESS".</t>
  </si>
  <si>
    <t>TC_ADM_SEARCH_016
TC_ADM_CREATE_006</t>
  </si>
  <si>
    <t>TC_ADM_CATALOG_018</t>
  </si>
  <si>
    <t>Kiểm tra thêm Employment Status hợp lệ</t>
  </si>
  <si>
    <t>TC_ADM_SEARCH_018</t>
  </si>
  <si>
    <t>1. Click menu Admin &gt; Job &gt; Employment Status.
2. Click [+ Add], nhập Name "G10TV5 Contract".
3. Click [Save].</t>
  </si>
  <si>
    <t>Kiểm tra đổi Status của tài khoản từ "Disabled" sang "Enabled"</t>
  </si>
  <si>
    <t>Hiển thị "Successfully Saved"; "G10TV5 Contract" xuất hiện trong danh sách Employment Status.</t>
  </si>
  <si>
    <t>1. Mở Edit User của "g10tv5_off01".
2. Đổi Status thành "Enabled".
3. Click [Save].
4. Đăng xuất và đăng nhập bằng "g10tv5_off01" / "Test@12345".</t>
  </si>
  <si>
    <t>Hiển thị "Successfully Updated"; Status của tài khoản là "Enabled"; đăng nhập bằng tài khoản này thành công.</t>
  </si>
  <si>
    <t>TC_ADM_SEARCH_016
TC_ADM_CREATE_008</t>
  </si>
  <si>
    <t>TC_ADM_CATALOG_019</t>
  </si>
  <si>
    <t>Kiểm tra thêm Employment Status khi bỏ trống Name</t>
  </si>
  <si>
    <t>1. Click [+ Add].
2. Để trống Name.
3. Click [Save].</t>
  </si>
  <si>
    <t>Ô Name hiển thị lỗi "Required"; dữ liệu không được lưu.</t>
  </si>
  <si>
    <t>TC_ADM_CATALOG_020</t>
  </si>
  <si>
    <t>Kiểm tra thêm Employment Status trùng tên</t>
  </si>
  <si>
    <t>TC_ADM_SEARCH_019</t>
  </si>
  <si>
    <t>1. Click [+ Add].
2. Nhập Name "G10TV5 Contract" (đã tạo).
3. Click [Save].</t>
  </si>
  <si>
    <t>Kiểm tra đổi Username hợp lệ</t>
  </si>
  <si>
    <t>Ô Name hiển thị lỗi "Already exists"; không tạo thêm bản ghi.</t>
  </si>
  <si>
    <t>1. Mở Edit User của "g10tv5_ess01".
2. Đổi Username thành "g10tv5_ess01_new".
3. Click [Save].
4. Đăng nhập bằng Username mới, sau đó thử đăng nhập bằng Username cũ.</t>
  </si>
  <si>
    <t>Hiển thị "Successfully Updated"; đăng nhập bằng Username mới thành công; đăng nhập bằng Username cũ thất bại ("Invalid credentials").</t>
  </si>
  <si>
    <t>TC_ADM_CATALOG_021</t>
  </si>
  <si>
    <t>TC_ADM_SEARCH_020</t>
  </si>
  <si>
    <t>Kiểm tra thêm Employment Status với Name vượt quá độ dài cho phép (51 ký tự)</t>
  </si>
  <si>
    <t>Kiểm tra đổi mật khẩu cho tài khoản</t>
  </si>
  <si>
    <t>1. Click [+ Add].
2. Nhập Name gồm 51 ký tự (VD: "G10TV5 " + 44 ký tự "B").
3. Click [Save].</t>
  </si>
  <si>
    <t>1. Mở Edit User của "g10tv5_ess01_new", chọn đổi mật khẩu (tích "Yes").
2. Nhập Password và Confirm Password "NewPass@456".
3. Click [Save].
4. Đăng nhập bằng mật khẩu mới, sau đó thử mật khẩu cũ "Test@12345".</t>
  </si>
  <si>
    <t>Ô Name hiển thị lỗi vượt độ dài cho phép (VD: "Should not exceed 50 characters"); dữ liệu không được lưu.</t>
  </si>
  <si>
    <t>Hiển thị "Successfully Updated"; đăng nhập bằng mật khẩu mới thành công; đăng nhập bằng mật khẩu cũ thất bại ("Invalid credentials").</t>
  </si>
  <si>
    <t>TC_ADM_CATALOG_022</t>
  </si>
  <si>
    <t>Kiểm tra chỉnh sửa tên Employment Status</t>
  </si>
  <si>
    <t>1. Tại dòng "G10TV5 Contract", click icon Edit.
2. Đổi Name thành "G10TV5 Contract Updated".
3. Click [Save].</t>
  </si>
  <si>
    <t>Hiển thị "Successfully Updated"; danh sách hiển thị tên mới.</t>
  </si>
  <si>
    <t>TC_ADM_SEARCH_021</t>
  </si>
  <si>
    <t>Kiểm tra đổi Username trùng với tài khoản khác</t>
  </si>
  <si>
    <t>1. Mở Edit User của "g10tv5_off01".
2. Đổi Username thành "Admin".
3. Click [Save].</t>
  </si>
  <si>
    <t>Ô Username hiển thị lỗi "Username already exists"; dữ liệu không được cập nhật.</t>
  </si>
  <si>
    <t>TC_ADM_CATALOG_023</t>
  </si>
  <si>
    <t>Kiểm tra xóa Employment Status kiểm thử</t>
  </si>
  <si>
    <t>1. Tại dòng "G10TV5 Contract Updated", click icon thùng rác (Delete).
2. Tại hộp thoại xác nhận, click [Yes, Delete].</t>
  </si>
  <si>
    <t>Hiển thị "Successfully Deleted"; bản ghi biến mất khỏi danh sách.</t>
  </si>
  <si>
    <t>TC_ADM_SEARCH_022</t>
  </si>
  <si>
    <t>Kiểm tra đổi Username còn 4 ký tự</t>
  </si>
  <si>
    <t>1. Mở Edit User của "g10tv5_off01".
2. Đổi Username thành "g10t" (4 ký tự).
3. Click [Save].</t>
  </si>
  <si>
    <t>Ô Username hiển thị lỗi "Should be at least 5 characters"; dữ liệu không được cập nhật.</t>
  </si>
  <si>
    <t>TC_ADM_SEARCH_023</t>
  </si>
  <si>
    <t>Kiểm tra xóa trống Username rồi lưu</t>
  </si>
  <si>
    <t>1. Mở Edit User của "g10tv5_off01".
2. Xóa toàn bộ nội dung ô Username.
3. Click [Save].</t>
  </si>
  <si>
    <t>Ô Username hiển thị lỗi "Required"; dữ liệu không được cập nhật.</t>
  </si>
  <si>
    <t>TC_ADM_CATALOG_024</t>
  </si>
  <si>
    <t>Kiểm tra thêm Skill với Name và Description hợp lệ</t>
  </si>
  <si>
    <t>1. Click menu Admin &gt; Qualifications &gt; Skills.
2. Click [+ Add], nhập Name "G10TV5 Selenium" và Description "Kỹ năng automation test".
3. Click [Save].</t>
  </si>
  <si>
    <t>Hiển thị "Successfully Saved"; "G10TV5 Selenium" xuất hiện trong danh sách Skills cùng Description.</t>
  </si>
  <si>
    <t>TC_ADM_CATALOG_025</t>
  </si>
  <si>
    <t>Kiểm tra thêm Skill khi bỏ trống Name</t>
  </si>
  <si>
    <t>1. Click [+ Add].
2. Để trống Name, nhập Description bất kỳ.
3. Click [Save].</t>
  </si>
  <si>
    <t>TC_ADM_SEARCH_024</t>
  </si>
  <si>
    <t>Kiểm tra xóa trống Employee Name rồi lưu</t>
  </si>
  <si>
    <t>1. Mở Edit User của "g10tv5_off01".
2. Xóa toàn bộ nội dung ô Employee Name.
3. Click [Save].</t>
  </si>
  <si>
    <t>Ô Employee Name hiển thị lỗi "Required"; dữ liệu không được cập nhật.</t>
  </si>
  <si>
    <t>TC_ADM_SEARCH_025</t>
  </si>
  <si>
    <t>Kiểm tra đổi mật khẩu khi Confirm Password không khớp</t>
  </si>
  <si>
    <t>1. Mở Edit User của "g10tv5_off01", tích đổi mật khẩu ("Yes").
2. Nhập Password "NewPass@456", Confirm Password "NewPass@789".
3. Click [Save].</t>
  </si>
  <si>
    <t>Ô Confirm Password hiển thị lỗi "Passwords do not match"; mật khẩu không được cập nhật.</t>
  </si>
  <si>
    <t>TC_ADM_CATALOG_026</t>
  </si>
  <si>
    <t>Kiểm tra thêm Nationality hợp lệ</t>
  </si>
  <si>
    <t>1. Click menu Admin &gt; Nationalities.
2. Click [+ Add], nhập Name "G10TV5 Land".
3. Click [Save].</t>
  </si>
  <si>
    <t>Hiển thị "Successfully Saved"; "G10TV5 Land" xuất hiện trong danh sách Nationalities.</t>
  </si>
  <si>
    <t>TC_ADM_SEARCH_026</t>
  </si>
  <si>
    <t>Kiểm tra đổi mật khẩu có 6 ký tự (dưới giá trị tối thiểu)</t>
  </si>
  <si>
    <t>1. Mở Edit User của "g10tv5_off01", tích đổi mật khẩu ("Yes").
2. Nhập Password và Confirm Password "Ab@123" (6 ký tự).
3. Click [Save].</t>
  </si>
  <si>
    <t>Ô Password hiển thị lỗi "Should have at least 7 characters"; mật khẩu không được cập nhật.</t>
  </si>
  <si>
    <t>TC_ADM_CATALOG_027</t>
  </si>
  <si>
    <t>Kiểm tra xóa nhiều bản ghi kiểm thử bằng [Delete Selected]</t>
  </si>
  <si>
    <t>TC_ADM_SEARCH_027</t>
  </si>
  <si>
    <t>1. Tại danh sách Skills, tích chọn checkbox của "G10TV5 Selenium" và các bản ghi kiểm thử khác (nếu có).
2. Click [Delete Selected].
3. Tại hộp thoại xác nhận, click [Yes, Delete].</t>
  </si>
  <si>
    <t>Kiểm tra nút [Cancel] khi đang chỉnh sửa</t>
  </si>
  <si>
    <t>Hiển thị "Successfully Deleted"; tất cả bản ghi đã chọn biến mất khỏi danh sách, các bản ghi không chọn được giữ nguyên.</t>
  </si>
  <si>
    <t>1. Mở Edit User của "g10tv5_off01".
2. Đổi Username thành "g10tv5_cancel2".
3. Click [Cancel].
4. Tìm kiếm lại cả hai Username "g10tv5_off01" và "g10tv5_cancel2".</t>
  </si>
  <si>
    <t>Hệ thống quay về trang System Users; Username "g10tv5_off01" vẫn giữ nguyên, không tồn tại "g10tv5_cancel2".</t>
  </si>
  <si>
    <t>TC_ADM_SEARCH_028</t>
  </si>
  <si>
    <t>Kiểm tra hủy thao tác xóa tại hộp thoại xác nhận</t>
  </si>
  <si>
    <t>1. Tìm kiếm Username "g10tv5_off01".
2. Click icon thùng rác (Delete) ở cột Actions.
3. Tại hộp thoại "Are you sure?", click [No, Cancel].</t>
  </si>
  <si>
    <t>Hộp thoại đóng lại; tài khoản "g10tv5_off01" vẫn còn trong danh sách.</t>
  </si>
  <si>
    <t>TC_ADM_SEARCH_029</t>
  </si>
  <si>
    <t>Kiểm tra xóa tài khoản kiểm thử thành công</t>
  </si>
  <si>
    <t>1. Tìm kiếm Username "g10tv5_off01".
2. Click icon thùng rác (Delete).
3. Tại hộp thoại xác nhận, click [Yes, Delete].</t>
  </si>
  <si>
    <t>Hiển thị "Successfully Deleted"; tài khoản "g10tv5_off01" biến mất khỏi danh sách; tìm kiếm lại hiển thị "No Records Found".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</si>
</sst>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[$-409]dd\-mmm\-yy"/>
    <numFmt numFmtId="166" formatCode="d\-mmm\-yy"/>
    <numFmt numFmtId="167" formatCode="d/m/yyyy"/>
    <numFmt numFmtId="168" formatCode="dd/mm/yyyy"/>
  </numFmts>
  <fonts count="30">
    <font>
      <sz val="11.0"/>
      <color rgb="FF000000"/>
      <name val="Arial"/>
      <scheme val="minor"/>
    </font>
    <font>
      <sz val="10.0"/>
      <color theme="1"/>
      <name val="Tahoma"/>
    </font>
    <font>
      <b/>
      <sz val="12.0"/>
      <color theme="1"/>
      <name val="Times New Roman"/>
    </font>
    <font>
      <sz val="11.0"/>
      <color theme="1"/>
      <name val="Arial"/>
    </font>
    <font>
      <b/>
      <sz val="20.0"/>
      <color rgb="FF000000"/>
      <name val="Tahoma"/>
    </font>
    <font>
      <b/>
      <sz val="22.0"/>
      <color rgb="FFFF0000"/>
      <name val="Tahoma"/>
    </font>
    <font>
      <b/>
      <sz val="10.0"/>
      <color rgb="FF000000"/>
      <name val="Tahoma"/>
    </font>
    <font>
      <sz val="11.0"/>
      <color theme="1"/>
      <name val="Times New Roman"/>
    </font>
    <font/>
    <font>
      <b/>
      <sz val="10.0"/>
      <color rgb="FFFF0000"/>
      <name val="Tahoma"/>
    </font>
    <font>
      <sz val="12.0"/>
      <color theme="1"/>
      <name val="Times New Roman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1.0"/>
      <color theme="1"/>
      <name val="Arial"/>
    </font>
    <font>
      <sz val="11.0"/>
      <color theme="1"/>
      <name val="Calibri"/>
    </font>
    <font>
      <b/>
      <sz val="10.0"/>
      <color rgb="FFFFFFFF"/>
      <name val="Tahoma"/>
    </font>
    <font>
      <b/>
      <sz val="10.0"/>
      <color theme="1"/>
      <name val="Tahoma"/>
    </font>
    <font>
      <sz val="11.0"/>
      <color rgb="FF000000"/>
      <name val="Arial"/>
    </font>
    <font>
      <u/>
      <sz val="12.0"/>
      <color rgb="FF0000FF"/>
      <name val="Calibri"/>
    </font>
    <font>
      <b/>
      <sz val="11.0"/>
      <color rgb="FFFFFFFF"/>
      <name val="Arial"/>
    </font>
    <font>
      <u/>
      <sz val="12.0"/>
      <color rgb="FF0000FF"/>
      <name val="Arial"/>
    </font>
    <font>
      <sz val="11.0"/>
      <color rgb="FF000000"/>
      <name val="Calibri"/>
    </font>
    <font>
      <b/>
      <sz val="12.0"/>
      <color rgb="FF434343"/>
      <name val="Arial"/>
    </font>
    <font>
      <b/>
      <sz val="20.0"/>
      <color theme="1"/>
      <name val="Tahoma"/>
    </font>
    <font>
      <b/>
      <sz val="11.0"/>
      <color rgb="FF993300"/>
      <name val="Tahoma"/>
    </font>
    <font>
      <i/>
      <sz val="11.0"/>
      <color rgb="FF008000"/>
      <name val="Tahoma"/>
    </font>
    <font>
      <b/>
      <sz val="11.0"/>
      <color rgb="FFFFFFFF"/>
      <name val="Tahoma"/>
    </font>
    <font>
      <sz val="11.0"/>
      <color theme="1"/>
      <name val="Tahoma"/>
    </font>
    <font>
      <sz val="11.0"/>
      <color rgb="FFFFFFFF"/>
      <name val="Tahoma"/>
    </font>
    <font>
      <b/>
      <sz val="11.0"/>
      <color rgb="FF0000FF"/>
      <name val="Tahoma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F4CCCC"/>
        <bgColor rgb="FFF4CCCC"/>
      </patternFill>
    </fill>
    <fill>
      <patternFill patternType="solid">
        <fgColor rgb="FFD8D8D8"/>
        <bgColor rgb="FFD8D8D8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BDD6EE"/>
        <bgColor rgb="FFBDD6EE"/>
      </patternFill>
    </fill>
  </fills>
  <borders count="46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right/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1" xfId="0" applyAlignment="1" applyBorder="1" applyFill="1" applyFont="1" applyNumberFormat="1">
      <alignment shrinkToFit="0" vertical="bottom" wrapText="0"/>
    </xf>
    <xf borderId="2" fillId="3" fontId="2" numFmtId="0" xfId="0" applyAlignment="1" applyBorder="1" applyFill="1" applyFont="1">
      <alignment shrinkToFit="0" vertical="bottom" wrapText="1"/>
    </xf>
    <xf borderId="1" fillId="2" fontId="1" numFmtId="0" xfId="0" applyAlignment="1" applyBorder="1" applyFill="1" applyFont="1">
      <alignment horizontal="left" shrinkToFit="0" vertical="bottom" wrapText="0"/>
    </xf>
    <xf borderId="3" fillId="0" fontId="3" numFmtId="0" xfId="0" applyAlignment="1" applyBorder="1" applyFont="1">
      <alignment shrinkToFit="0" vertical="bottom" wrapText="1"/>
    </xf>
    <xf borderId="4" fillId="3" fontId="2" numFmtId="0" xfId="0" applyAlignment="1" applyBorder="1" applyFill="1" applyFont="1">
      <alignment shrinkToFit="0" vertical="bottom" wrapText="1"/>
    </xf>
    <xf borderId="1" fillId="2" fontId="4" numFmtId="0" xfId="0" applyAlignment="1" applyBorder="1" applyFill="1" applyFont="1">
      <alignment horizontal="left" shrinkToFit="0" vertical="bottom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2" fontId="3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horizontal="left" shrinkToFit="0" vertical="bottom" wrapText="0"/>
    </xf>
    <xf borderId="5" fillId="3" fontId="2" numFmtId="0" xfId="0" applyAlignment="1" applyBorder="1" applyFill="1" applyFont="1">
      <alignment shrinkToFit="0" vertical="bottom" wrapText="1"/>
    </xf>
    <xf borderId="1" fillId="2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6" fillId="0" fontId="4" numFmtId="0" xfId="0" applyAlignment="1" applyBorder="1" applyFont="1">
      <alignment horizontal="center" shrinkToFit="0" vertical="center" wrapText="0"/>
    </xf>
    <xf borderId="7" fillId="0" fontId="8" numFmtId="0" xfId="0" applyBorder="1" applyFont="1"/>
    <xf borderId="1" fillId="2" fontId="3" numFmtId="164" xfId="0" applyAlignment="1" applyBorder="1" applyFill="1" applyFont="1" applyNumberFormat="1">
      <alignment shrinkToFit="0" vertical="bottom" wrapText="0"/>
    </xf>
    <xf borderId="8" fillId="0" fontId="8" numFmtId="0" xfId="0" applyBorder="1" applyFont="1"/>
    <xf borderId="1" fillId="2" fontId="9" numFmtId="0" xfId="0" applyAlignment="1" applyBorder="1" applyFill="1" applyFont="1">
      <alignment horizontal="left" shrinkToFit="0" vertical="bottom" wrapText="0"/>
    </xf>
    <xf borderId="0" fillId="0" fontId="1" numFmtId="0" xfId="0" applyAlignment="1" applyFont="1">
      <alignment horizontal="center" shrinkToFit="0" vertical="center" wrapText="0"/>
    </xf>
    <xf borderId="9" fillId="0" fontId="2" numFmtId="0" xfId="0" applyAlignment="1" applyBorder="1" applyFont="1">
      <alignment shrinkToFit="0" vertical="bottom" wrapText="0"/>
    </xf>
    <xf borderId="1" fillId="4" fontId="10" numFmtId="0" xfId="0" applyAlignment="1" applyBorder="1" applyFill="1" applyFont="1">
      <alignment shrinkToFit="0" vertical="bottom" wrapText="0"/>
    </xf>
    <xf borderId="1" fillId="2" fontId="11" numFmtId="0" xfId="0" applyAlignment="1" applyBorder="1" applyFill="1" applyFont="1">
      <alignment horizontal="left" shrinkToFit="0" vertical="bottom" wrapText="0"/>
    </xf>
    <xf borderId="5" fillId="0" fontId="10" numFmtId="0" xfId="0" applyAlignment="1" applyBorder="1" applyFont="1">
      <alignment shrinkToFit="0" vertical="bottom" wrapText="0"/>
    </xf>
    <xf borderId="6" fillId="2" fontId="11" numFmtId="1" xfId="0" applyAlignment="1" applyBorder="1" applyFill="1" applyFont="1" applyNumberForma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10" fillId="0" fontId="13" numFmtId="0" xfId="0" applyAlignment="1" applyBorder="1" applyFont="1">
      <alignment shrinkToFit="0" vertical="bottom" wrapText="1"/>
    </xf>
    <xf borderId="11" fillId="0" fontId="8" numFmtId="0" xfId="0" applyBorder="1" applyFont="1"/>
    <xf borderId="12" fillId="0" fontId="10" numFmtId="0" xfId="0" applyAlignment="1" applyBorder="1" applyFont="1">
      <alignment shrinkToFit="0" vertical="bottom" wrapText="1"/>
    </xf>
    <xf borderId="13" fillId="2" fontId="3" numFmtId="0" xfId="0" applyAlignment="1" applyBorder="1" applyFill="1" applyFont="1">
      <alignment shrinkToFit="0" vertical="bottom" wrapText="1"/>
    </xf>
    <xf borderId="14" fillId="0" fontId="8" numFmtId="0" xfId="0" applyBorder="1" applyFont="1"/>
    <xf borderId="5" fillId="0" fontId="10" numFmtId="0" xfId="0" applyAlignment="1" applyBorder="1" applyFont="1">
      <alignment shrinkToFit="0" vertical="bottom" wrapText="1"/>
    </xf>
    <xf borderId="16" fillId="0" fontId="8" numFmtId="0" xfId="0" applyBorder="1" applyFont="1"/>
    <xf borderId="15" fillId="2" fontId="11" numFmtId="0" xfId="0" applyAlignment="1" applyBorder="1" applyFill="1" applyFont="1">
      <alignment horizontal="left" shrinkToFit="0" vertical="bottom" wrapText="0"/>
    </xf>
    <xf borderId="0" fillId="0" fontId="3" numFmtId="164" xfId="0" applyAlignment="1" applyFont="1" applyNumberFormat="1">
      <alignment shrinkToFit="0" vertical="bottom" wrapText="0"/>
    </xf>
    <xf borderId="15" fillId="2" fontId="3" numFmtId="164" xfId="0" applyAlignment="1" applyBorder="1" applyFill="1" applyFont="1" applyNumberFormat="1">
      <alignment shrinkToFit="0" vertical="bottom" wrapText="1"/>
    </xf>
    <xf borderId="9" fillId="0" fontId="7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horizontal="left" shrinkToFit="0" vertical="bottom" wrapText="0"/>
    </xf>
    <xf borderId="15" fillId="2" fontId="3" numFmtId="0" xfId="0" applyAlignment="1" applyBorder="1" applyFill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6" fillId="2" fontId="12" numFmtId="0" xfId="0" applyAlignment="1" applyBorder="1" applyFill="1" applyFont="1">
      <alignment horizontal="left" shrinkToFit="0" vertical="bottom" wrapText="0"/>
    </xf>
    <xf borderId="13" fillId="2" fontId="14" numFmtId="0" xfId="0" applyAlignment="1" applyBorder="1" applyFill="1" applyFont="1">
      <alignment shrinkToFit="0" vertical="bottom" wrapText="0"/>
    </xf>
    <xf borderId="17" fillId="2" fontId="11" numFmtId="0" xfId="0" applyAlignment="1" applyBorder="1" applyFill="1" applyFont="1">
      <alignment horizontal="left" shrinkToFit="0" vertical="center" wrapText="0"/>
    </xf>
    <xf borderId="18" fillId="0" fontId="12" numFmtId="0" xfId="0" applyAlignment="1" applyBorder="1" applyFont="1">
      <alignment horizontal="left" shrinkToFit="0" vertical="center" wrapText="0"/>
    </xf>
    <xf borderId="19" fillId="0" fontId="8" numFmtId="0" xfId="0" applyBorder="1" applyFont="1"/>
    <xf borderId="20" fillId="0" fontId="8" numFmtId="0" xfId="0" applyBorder="1" applyFont="1"/>
    <xf borderId="8" fillId="0" fontId="12" numFmtId="165" xfId="0" applyAlignment="1" applyBorder="1" applyFont="1" applyNumberFormat="1">
      <alignment horizontal="left" shrinkToFit="0" vertical="bottom" wrapText="0"/>
    </xf>
    <xf borderId="10" fillId="0" fontId="13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shrinkToFit="0" vertical="bottom" wrapText="1"/>
    </xf>
    <xf borderId="10" fillId="5" fontId="13" numFmtId="0" xfId="0" applyAlignment="1" applyBorder="1" applyFill="1" applyFont="1">
      <alignment horizontal="center" shrinkToFit="0" vertical="bottom" wrapText="1"/>
    </xf>
    <xf borderId="21" fillId="0" fontId="8" numFmtId="0" xfId="0" applyBorder="1" applyFont="1"/>
    <xf borderId="6" fillId="2" fontId="11" numFmtId="1" xfId="0" applyAlignment="1" applyBorder="1" applyFill="1" applyFont="1" applyNumberFormat="1">
      <alignment shrinkToFit="0" vertical="center" wrapText="1"/>
    </xf>
    <xf borderId="22" fillId="0" fontId="8" numFmtId="0" xfId="0" applyBorder="1" applyFont="1"/>
    <xf borderId="10" fillId="5" fontId="13" numFmtId="0" xfId="0" applyAlignment="1" applyBorder="1" applyFill="1" applyFont="1">
      <alignment shrinkToFit="0" vertical="bottom" wrapText="1"/>
    </xf>
    <xf borderId="23" fillId="0" fontId="8" numFmtId="0" xfId="0" applyBorder="1" applyFont="1"/>
    <xf borderId="24" fillId="0" fontId="8" numFmtId="0" xfId="0" applyBorder="1" applyFont="1"/>
    <xf borderId="10" fillId="2" fontId="3" numFmtId="0" xfId="0" applyAlignment="1" applyBorder="1" applyFill="1" applyFont="1">
      <alignment shrinkToFit="0" vertical="bottom" wrapText="0"/>
    </xf>
    <xf borderId="6" fillId="2" fontId="12" numFmtId="0" xfId="0" applyAlignment="1" applyBorder="1" applyFill="1" applyFont="1">
      <alignment shrinkToFit="0" vertical="top" wrapText="1"/>
    </xf>
    <xf borderId="8" fillId="0" fontId="12" numFmtId="0" xfId="0" applyAlignment="1" applyBorder="1" applyFont="1">
      <alignment horizontal="left" shrinkToFit="0" vertical="bottom" wrapText="0"/>
    </xf>
    <xf borderId="1" fillId="2" fontId="11" numFmtId="0" xfId="0" applyAlignment="1" applyBorder="1" applyFill="1" applyFont="1">
      <alignment shrinkToFit="0" vertical="bottom" wrapText="0"/>
    </xf>
    <xf borderId="1" fillId="2" fontId="11" numFmtId="1" xfId="0" applyAlignment="1" applyBorder="1" applyFill="1" applyFont="1" applyNumberFormat="1">
      <alignment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0" fillId="0" fontId="11" numFmtId="0" xfId="0" applyAlignment="1" applyFont="1">
      <alignment horizontal="left" shrinkToFit="0" vertical="bottom" wrapText="0"/>
    </xf>
    <xf borderId="1" fillId="2" fontId="1" numFmtId="1" xfId="0" applyAlignment="1" applyBorder="1" applyFill="1" applyFont="1" applyNumberFormat="1">
      <alignment shrinkToFit="0" vertical="center" wrapText="0"/>
    </xf>
    <xf borderId="10" fillId="0" fontId="3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15" fillId="6" fontId="15" numFmtId="166" xfId="0" applyAlignment="1" applyBorder="1" applyFill="1" applyFont="1" applyNumberFormat="1">
      <alignment horizontal="center" shrinkToFit="0" vertical="center" wrapText="0"/>
    </xf>
    <xf borderId="15" fillId="6" fontId="15" numFmtId="0" xfId="0" applyAlignment="1" applyBorder="1" applyFill="1" applyFont="1">
      <alignment horizontal="center" shrinkToFit="0" vertical="center" wrapText="0"/>
    </xf>
    <xf borderId="1" fillId="2" fontId="16" numFmtId="0" xfId="0" applyAlignment="1" applyBorder="1" applyFill="1" applyFont="1">
      <alignment horizontal="center" shrinkToFit="0" vertical="bottom" wrapText="0"/>
    </xf>
    <xf borderId="25" fillId="0" fontId="10" numFmtId="0" xfId="0" applyAlignment="1" applyBorder="1" applyFont="1">
      <alignment shrinkToFit="0" vertical="bottom" wrapText="1"/>
    </xf>
    <xf borderId="10" fillId="2" fontId="3" numFmtId="0" xfId="0" applyAlignment="1" applyBorder="1" applyFill="1" applyFont="1">
      <alignment horizontal="center" shrinkToFit="0" vertical="bottom" wrapText="1"/>
    </xf>
    <xf borderId="3" fillId="0" fontId="10" numFmtId="0" xfId="0" applyAlignment="1" applyBorder="1" applyFont="1">
      <alignment shrinkToFit="0" vertical="bottom" wrapText="1"/>
    </xf>
    <xf borderId="15" fillId="7" fontId="15" numFmtId="1" xfId="0" applyAlignment="1" applyBorder="1" applyFill="1" applyFont="1" applyNumberFormat="1">
      <alignment horizontal="center" shrinkToFit="0" vertical="center" wrapText="0"/>
    </xf>
    <xf borderId="3" fillId="0" fontId="7" numFmtId="0" xfId="0" applyAlignment="1" applyBorder="1" applyFont="1">
      <alignment shrinkToFit="0" vertical="bottom" wrapText="0"/>
    </xf>
    <xf borderId="15" fillId="7" fontId="15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26" fillId="0" fontId="7" numFmtId="0" xfId="0" applyAlignment="1" applyBorder="1" applyFont="1">
      <alignment shrinkToFit="0" vertical="bottom" wrapText="0"/>
    </xf>
    <xf borderId="15" fillId="0" fontId="12" numFmtId="165" xfId="0" applyAlignment="1" applyBorder="1" applyFont="1" applyNumberFormat="1">
      <alignment horizontal="left" shrinkToFit="0" vertical="bottom" wrapText="0"/>
    </xf>
    <xf borderId="27" fillId="0" fontId="7" numFmtId="0" xfId="0" applyAlignment="1" applyBorder="1" applyFont="1">
      <alignment shrinkToFit="0" vertical="bottom" wrapText="0"/>
    </xf>
    <xf borderId="15" fillId="0" fontId="1" numFmtId="49" xfId="0" applyAlignment="1" applyBorder="1" applyFont="1" applyNumberFormat="1">
      <alignment shrinkToFit="0" vertical="top" wrapText="0"/>
    </xf>
    <xf borderId="27" fillId="0" fontId="10" numFmtId="0" xfId="0" applyAlignment="1" applyBorder="1" applyFont="1">
      <alignment shrinkToFit="0" vertical="bottom" wrapText="0"/>
    </xf>
    <xf borderId="27" fillId="0" fontId="10" numFmtId="0" xfId="0" applyAlignment="1" applyBorder="1" applyFont="1">
      <alignment shrinkToFit="0" vertical="bottom" wrapText="1"/>
    </xf>
    <xf borderId="15" fillId="2" fontId="1" numFmtId="1" xfId="0" applyAlignment="1" applyBorder="1" applyFill="1" applyFont="1" applyNumberFormat="1">
      <alignment shrinkToFit="0" vertical="center" wrapText="0"/>
    </xf>
    <xf borderId="15" fillId="0" fontId="1" numFmtId="0" xfId="0" applyAlignment="1" applyBorder="1" applyFont="1">
      <alignment shrinkToFit="0" vertical="top" wrapText="0"/>
    </xf>
    <xf borderId="12" fillId="0" fontId="7" numFmtId="0" xfId="0" applyAlignment="1" applyBorder="1" applyFont="1">
      <alignment shrinkToFit="0" vertical="bottom" wrapText="0"/>
    </xf>
    <xf borderId="15" fillId="0" fontId="17" numFmtId="49" xfId="0" applyAlignment="1" applyBorder="1" applyFont="1" applyNumberFormat="1">
      <alignment shrinkToFit="0" vertical="top" wrapText="0"/>
    </xf>
    <xf borderId="15" fillId="0" fontId="1" numFmtId="0" xfId="0" applyAlignment="1" applyBorder="1" applyFont="1">
      <alignment readingOrder="0" shrinkToFit="0" vertical="top" wrapText="1"/>
    </xf>
    <xf borderId="15" fillId="0" fontId="12" numFmtId="0" xfId="0" applyAlignment="1" applyBorder="1" applyFont="1">
      <alignment shrinkToFit="0" vertical="top" wrapText="1"/>
    </xf>
    <xf borderId="15" fillId="0" fontId="1" numFmtId="166" xfId="0" applyAlignment="1" applyBorder="1" applyFont="1" applyNumberFormat="1">
      <alignment shrinkToFit="0" vertical="top" wrapText="0"/>
    </xf>
    <xf borderId="28" fillId="2" fontId="14" numFmtId="0" xfId="0" applyAlignment="1" applyBorder="1" applyFill="1" applyFont="1">
      <alignment shrinkToFit="0" vertical="bottom" wrapText="0"/>
    </xf>
    <xf borderId="1" fillId="2" fontId="14" numFmtId="0" xfId="0" applyAlignment="1" applyBorder="1" applyFill="1" applyFont="1">
      <alignment shrinkToFit="0" vertical="bottom" wrapText="0"/>
    </xf>
    <xf borderId="15" fillId="0" fontId="18" numFmtId="0" xfId="0" applyAlignment="1" applyBorder="1" applyFont="1">
      <alignment shrinkToFit="0" vertical="bottom" wrapText="0"/>
    </xf>
    <xf borderId="1" fillId="2" fontId="14" numFmtId="164" xfId="0" applyAlignment="1" applyBorder="1" applyFill="1" applyFont="1" applyNumberFormat="1">
      <alignment shrinkToFit="0" vertical="bottom" wrapText="0"/>
    </xf>
    <xf borderId="15" fillId="0" fontId="17" numFmtId="49" xfId="0" applyAlignment="1" applyBorder="1" applyFont="1" applyNumberFormat="1">
      <alignment readingOrder="0" shrinkToFit="0" vertical="top" wrapText="0"/>
    </xf>
    <xf borderId="15" fillId="0" fontId="17" numFmtId="0" xfId="0" applyAlignment="1" applyBorder="1" applyFont="1">
      <alignment readingOrder="0" shrinkToFit="0" vertical="top" wrapText="0"/>
    </xf>
    <xf borderId="1" fillId="2" fontId="14" numFmtId="0" xfId="0" applyAlignment="1" applyBorder="1" applyFill="1" applyFont="1">
      <alignment horizontal="center" shrinkToFit="0" vertical="bottom" wrapText="0"/>
    </xf>
    <xf borderId="5" fillId="6" fontId="19" numFmtId="0" xfId="0" applyAlignment="1" applyBorder="1" applyFill="1" applyFont="1">
      <alignment horizontal="center" shrinkToFit="0" vertical="bottom" wrapText="1"/>
    </xf>
    <xf borderId="5" fillId="6" fontId="19" numFmtId="0" xfId="0" applyAlignment="1" applyBorder="1" applyFill="1" applyFont="1">
      <alignment shrinkToFit="0" vertical="bottom" wrapText="1"/>
    </xf>
    <xf borderId="15" fillId="0" fontId="20" numFmtId="0" xfId="0" applyAlignment="1" applyBorder="1" applyFont="1">
      <alignment shrinkToFit="0" vertical="bottom" wrapText="0"/>
    </xf>
    <xf borderId="5" fillId="6" fontId="19" numFmtId="164" xfId="0" applyAlignment="1" applyBorder="1" applyFill="1" applyFont="1" applyNumberFormat="1">
      <alignment horizontal="center" shrinkToFit="0" vertical="bottom" wrapText="1"/>
    </xf>
    <xf borderId="1" fillId="2" fontId="21" numFmtId="0" xfId="0" applyAlignment="1" applyBorder="1" applyFill="1" applyFont="1">
      <alignment shrinkToFit="0" vertical="bottom" wrapText="0"/>
    </xf>
    <xf borderId="26" fillId="8" fontId="13" numFmtId="0" xfId="0" applyAlignment="1" applyBorder="1" applyFill="1" applyFont="1">
      <alignment horizontal="center" shrinkToFit="0" vertical="bottom" wrapText="1"/>
    </xf>
    <xf borderId="27" fillId="0" fontId="8" numFmtId="0" xfId="0" applyBorder="1" applyFont="1"/>
    <xf borderId="12" fillId="0" fontId="8" numFmtId="0" xfId="0" applyBorder="1" applyFont="1"/>
    <xf borderId="26" fillId="9" fontId="14" numFmtId="0" xfId="0" applyAlignment="1" applyBorder="1" applyFill="1" applyFont="1">
      <alignment shrinkToFit="0" vertical="bottom" wrapText="0"/>
    </xf>
    <xf borderId="5" fillId="0" fontId="14" numFmtId="0" xfId="0" applyAlignment="1" applyBorder="1" applyFont="1">
      <alignment shrinkToFit="0" vertical="bottom" wrapText="0"/>
    </xf>
    <xf borderId="29" fillId="10" fontId="13" numFmtId="0" xfId="0" applyAlignment="1" applyBorder="1" applyFill="1" applyFont="1">
      <alignment shrinkToFit="0" vertical="bottom" wrapText="0"/>
    </xf>
    <xf borderId="30" fillId="10" fontId="13" numFmtId="0" xfId="0" applyAlignment="1" applyBorder="1" applyFill="1" applyFont="1">
      <alignment shrinkToFit="0" vertical="bottom" wrapText="1"/>
    </xf>
    <xf borderId="5" fillId="10" fontId="14" numFmtId="0" xfId="0" applyAlignment="1" applyBorder="1" applyFill="1" applyFont="1">
      <alignment shrinkToFit="0" vertical="bottom" wrapText="0"/>
    </xf>
    <xf borderId="5" fillId="10" fontId="14" numFmtId="164" xfId="0" applyAlignment="1" applyBorder="1" applyFill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5" fillId="11" fontId="3" numFmtId="0" xfId="0" applyAlignment="1" applyBorder="1" applyFill="1" applyFont="1">
      <alignment shrinkToFit="0" vertical="bottom" wrapText="1"/>
    </xf>
    <xf borderId="5" fillId="11" fontId="14" numFmtId="0" xfId="0" applyAlignment="1" applyBorder="1" applyFill="1" applyFont="1">
      <alignment shrinkToFit="0" vertical="bottom" wrapText="0"/>
    </xf>
    <xf borderId="5" fillId="11" fontId="14" numFmtId="164" xfId="0" applyAlignment="1" applyBorder="1" applyFill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1"/>
    </xf>
    <xf borderId="5" fillId="10" fontId="22" numFmtId="0" xfId="0" applyAlignment="1" applyBorder="1" applyFill="1" applyFont="1">
      <alignment horizontal="center" readingOrder="0" shrinkToFit="0" vertical="bottom" wrapText="0"/>
    </xf>
    <xf borderId="5" fillId="0" fontId="3" numFmtId="167" xfId="0" applyAlignment="1" applyBorder="1" applyFont="1" applyNumberFormat="1">
      <alignment shrinkToFit="0" vertical="bottom" wrapText="1"/>
    </xf>
    <xf borderId="5" fillId="2" fontId="3" numFmtId="0" xfId="0" applyAlignment="1" applyBorder="1" applyFill="1" applyFont="1">
      <alignment shrinkToFit="0" vertical="bottom" wrapText="1"/>
    </xf>
    <xf borderId="0" fillId="0" fontId="14" numFmtId="164" xfId="0" applyAlignment="1" applyFont="1" applyNumberFormat="1">
      <alignment shrinkToFit="0" vertical="bottom" wrapText="0"/>
    </xf>
    <xf borderId="31" fillId="2" fontId="23" numFmtId="0" xfId="0" applyAlignment="1" applyBorder="1" applyFill="1" applyFont="1">
      <alignment horizontal="center" shrinkToFit="0" vertical="bottom" wrapText="0"/>
    </xf>
    <xf borderId="32" fillId="0" fontId="8" numFmtId="0" xfId="0" applyBorder="1" applyFont="1"/>
    <xf borderId="33" fillId="0" fontId="8" numFmtId="0" xfId="0" applyBorder="1" applyFont="1"/>
    <xf borderId="1" fillId="2" fontId="14" numFmtId="166" xfId="0" applyAlignment="1" applyBorder="1" applyFill="1" applyFont="1" applyNumberFormat="1">
      <alignment shrinkToFit="0" vertical="bottom" wrapText="0"/>
    </xf>
    <xf borderId="15" fillId="2" fontId="24" numFmtId="0" xfId="0" applyAlignment="1" applyBorder="1" applyFill="1" applyFont="1">
      <alignment shrinkToFit="0" vertical="bottom" wrapText="0"/>
    </xf>
    <xf borderId="6" fillId="2" fontId="25" numFmtId="0" xfId="0" applyAlignment="1" applyBorder="1" applyFill="1" applyFont="1">
      <alignment shrinkToFit="0" vertical="bottom" wrapText="0"/>
    </xf>
    <xf borderId="6" fillId="2" fontId="24" numFmtId="0" xfId="0" applyAlignment="1" applyBorder="1" applyFill="1" applyFont="1">
      <alignment shrinkToFit="0" vertical="bottom" wrapText="0"/>
    </xf>
    <xf borderId="34" fillId="2" fontId="24" numFmtId="0" xfId="0" applyAlignment="1" applyBorder="1" applyFill="1" applyFont="1">
      <alignment shrinkToFit="0" vertical="bottom" wrapText="0"/>
    </xf>
    <xf borderId="34" fillId="2" fontId="14" numFmtId="0" xfId="0" applyAlignment="1" applyBorder="1" applyFill="1" applyFont="1">
      <alignment shrinkToFit="0" vertical="top" wrapText="0"/>
    </xf>
    <xf borderId="28" fillId="2" fontId="3" numFmtId="0" xfId="0" applyAlignment="1" applyBorder="1" applyFill="1" applyFont="1">
      <alignment shrinkToFit="0" vertical="bottom" wrapText="0"/>
    </xf>
    <xf borderId="34" fillId="2" fontId="24" numFmtId="164" xfId="0" applyAlignment="1" applyBorder="1" applyFill="1" applyFont="1" applyNumberFormat="1">
      <alignment shrinkToFit="0" vertical="bottom" wrapText="0"/>
    </xf>
    <xf borderId="34" fillId="2" fontId="25" numFmtId="0" xfId="0" applyAlignment="1" applyBorder="1" applyFill="1" applyFont="1">
      <alignment shrinkToFit="0" vertical="top" wrapText="0"/>
    </xf>
    <xf borderId="6" fillId="2" fontId="25" numFmtId="0" xfId="0" applyAlignment="1" applyBorder="1" applyFill="1" applyFont="1">
      <alignment shrinkToFit="0" vertical="top" wrapText="1"/>
    </xf>
    <xf borderId="26" fillId="9" fontId="3" numFmtId="0" xfId="0" applyAlignment="1" applyBorder="1" applyFill="1" applyFont="1">
      <alignment shrinkToFit="0" vertical="bottom" wrapText="0"/>
    </xf>
    <xf borderId="5" fillId="2" fontId="14" numFmtId="0" xfId="0" applyAlignment="1" applyBorder="1" applyFill="1" applyFont="1">
      <alignment shrinkToFit="0" vertical="bottom" wrapText="0"/>
    </xf>
    <xf borderId="29" fillId="10" fontId="14" numFmtId="0" xfId="0" applyAlignment="1" applyBorder="1" applyFill="1" applyFont="1">
      <alignment shrinkToFit="0" vertical="bottom" wrapText="0"/>
    </xf>
    <xf borderId="30" fillId="10" fontId="14" numFmtId="0" xfId="0" applyAlignment="1" applyBorder="1" applyFill="1" applyFont="1">
      <alignment shrinkToFit="0" vertical="bottom" wrapText="0"/>
    </xf>
    <xf borderId="35" fillId="2" fontId="14" numFmtId="0" xfId="0" applyAlignment="1" applyBorder="1" applyFill="1" applyFont="1">
      <alignment shrinkToFit="0" vertical="bottom" wrapText="0"/>
    </xf>
    <xf borderId="36" fillId="6" fontId="26" numFmtId="0" xfId="0" applyAlignment="1" applyBorder="1" applyFill="1" applyFont="1">
      <alignment horizontal="center" shrinkToFit="0" vertical="bottom" wrapText="0"/>
    </xf>
    <xf borderId="5" fillId="0" fontId="3" numFmtId="0" xfId="0" applyAlignment="1" applyBorder="1" applyFont="1">
      <alignment shrinkToFit="0" vertical="bottom" wrapText="0"/>
    </xf>
    <xf borderId="37" fillId="6" fontId="26" numFmtId="0" xfId="0" applyAlignment="1" applyBorder="1" applyFill="1" applyFont="1">
      <alignment horizontal="center" shrinkToFit="0" vertical="bottom" wrapText="0"/>
    </xf>
    <xf borderId="3" fillId="11" fontId="14" numFmtId="0" xfId="0" applyAlignment="1" applyBorder="1" applyFill="1" applyFont="1">
      <alignment shrinkToFit="0" vertical="bottom" wrapText="0"/>
    </xf>
    <xf borderId="37" fillId="6" fontId="26" numFmtId="0" xfId="0" applyAlignment="1" applyBorder="1" applyFill="1" applyFont="1">
      <alignment horizontal="center" shrinkToFit="0" vertical="bottom" wrapText="1"/>
    </xf>
    <xf borderId="29" fillId="10" fontId="3" numFmtId="0" xfId="0" applyAlignment="1" applyBorder="1" applyFill="1" applyFont="1">
      <alignment shrinkToFit="0" vertical="bottom" wrapText="0"/>
    </xf>
    <xf borderId="38" fillId="6" fontId="26" numFmtId="0" xfId="0" applyAlignment="1" applyBorder="1" applyFill="1" applyFont="1">
      <alignment horizontal="center" shrinkToFit="0" vertical="bottom" wrapText="0"/>
    </xf>
    <xf borderId="29" fillId="10" fontId="3" numFmtId="164" xfId="0" applyAlignment="1" applyBorder="1" applyFill="1" applyFont="1" applyNumberFormat="1">
      <alignment shrinkToFit="0" vertical="bottom" wrapText="0"/>
    </xf>
    <xf borderId="29" fillId="11" fontId="14" numFmtId="0" xfId="0" applyAlignment="1" applyBorder="1" applyFill="1" applyFont="1">
      <alignment shrinkToFit="0" vertical="bottom" wrapText="0"/>
    </xf>
    <xf borderId="39" fillId="6" fontId="26" numFmtId="0" xfId="0" applyAlignment="1" applyBorder="1" applyFill="1" applyFont="1">
      <alignment horizontal="center" shrinkToFit="0" vertical="bottom" wrapText="1"/>
    </xf>
    <xf borderId="30" fillId="11" fontId="14" numFmtId="0" xfId="0" applyAlignment="1" applyBorder="1" applyFill="1" applyFont="1">
      <alignment shrinkToFit="0" vertical="bottom" wrapText="0"/>
    </xf>
    <xf borderId="5" fillId="11" fontId="3" numFmtId="0" xfId="0" applyAlignment="1" applyBorder="1" applyFill="1" applyFont="1">
      <alignment shrinkToFit="0" vertical="bottom" wrapText="0"/>
    </xf>
    <xf borderId="30" fillId="2" fontId="27" numFmtId="0" xfId="0" applyAlignment="1" applyBorder="1" applyFill="1" applyFont="1">
      <alignment horizontal="center" shrinkToFit="0" vertical="bottom" wrapText="0"/>
    </xf>
    <xf borderId="5" fillId="11" fontId="3" numFmtId="164" xfId="0" applyAlignment="1" applyBorder="1" applyFill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1"/>
    </xf>
    <xf borderId="5" fillId="2" fontId="27" numFmtId="0" xfId="0" applyAlignment="1" applyBorder="1" applyFill="1" applyFont="1">
      <alignment shrinkToFit="0" vertical="bottom" wrapText="0"/>
    </xf>
    <xf borderId="5" fillId="0" fontId="17" numFmtId="0" xfId="0" applyAlignment="1" applyBorder="1" applyFont="1">
      <alignment shrinkToFit="0" vertical="bottom" wrapText="0"/>
    </xf>
    <xf borderId="5" fillId="2" fontId="27" numFmtId="0" xfId="0" applyAlignment="1" applyBorder="1" applyFill="1" applyFont="1">
      <alignment horizontal="center" shrinkToFit="0" vertical="bottom" wrapText="0"/>
    </xf>
    <xf borderId="5" fillId="2" fontId="3" numFmtId="168" xfId="0" applyAlignment="1" applyBorder="1" applyFill="1" applyFont="1" applyNumberFormat="1">
      <alignment horizontal="right" shrinkToFit="0" vertical="bottom" wrapText="1"/>
    </xf>
    <xf borderId="5" fillId="0" fontId="3" numFmtId="0" xfId="0" applyAlignment="1" applyBorder="1" applyFont="1">
      <alignment horizontal="center" shrinkToFit="0" vertical="top" wrapText="0"/>
    </xf>
    <xf borderId="12" fillId="0" fontId="14" numFmtId="0" xfId="0" applyAlignment="1" applyBorder="1" applyFont="1">
      <alignment shrinkToFit="0" vertical="bottom" wrapText="0"/>
    </xf>
    <xf borderId="5" fillId="0" fontId="3" numFmtId="168" xfId="0" applyAlignment="1" applyBorder="1" applyFont="1" applyNumberFormat="1">
      <alignment horizontal="right" shrinkToFit="0" vertical="bottom" wrapText="1"/>
    </xf>
    <xf borderId="40" fillId="0" fontId="3" numFmtId="164" xfId="0" applyAlignment="1" applyBorder="1" applyFont="1" applyNumberFormat="1">
      <alignment horizontal="center" shrinkToFit="0" vertical="top" wrapText="0"/>
    </xf>
    <xf borderId="29" fillId="2" fontId="27" numFmtId="0" xfId="0" applyAlignment="1" applyBorder="1" applyFill="1" applyFont="1">
      <alignment horizontal="center" shrinkToFit="0" vertical="bottom" wrapText="0"/>
    </xf>
    <xf borderId="41" fillId="2" fontId="27" numFmtId="0" xfId="0" applyAlignment="1" applyBorder="1" applyFill="1" applyFont="1">
      <alignment horizontal="center" shrinkToFit="0" vertical="bottom" wrapText="0"/>
    </xf>
    <xf borderId="5" fillId="0" fontId="17" numFmtId="0" xfId="0" applyAlignment="1" applyBorder="1" applyFont="1">
      <alignment shrinkToFit="0" vertical="bottom" wrapText="1"/>
    </xf>
    <xf borderId="30" fillId="2" fontId="14" numFmtId="0" xfId="0" applyAlignment="1" applyBorder="1" applyFill="1" applyFont="1">
      <alignment shrinkToFit="0" vertical="bottom" wrapText="0"/>
    </xf>
    <xf borderId="29" fillId="2" fontId="14" numFmtId="0" xfId="0" applyAlignment="1" applyBorder="1" applyFill="1" applyFont="1">
      <alignment shrinkToFit="0" vertical="bottom" wrapText="0"/>
    </xf>
    <xf borderId="41" fillId="2" fontId="14" numFmtId="0" xfId="0" applyAlignment="1" applyBorder="1" applyFill="1" applyFont="1">
      <alignment shrinkToFit="0" vertical="bottom" wrapText="0"/>
    </xf>
    <xf borderId="42" fillId="6" fontId="14" numFmtId="0" xfId="0" applyAlignment="1" applyBorder="1" applyFill="1" applyFont="1">
      <alignment shrinkToFit="0" vertical="bottom" wrapText="0"/>
    </xf>
    <xf borderId="43" fillId="6" fontId="26" numFmtId="0" xfId="0" applyAlignment="1" applyBorder="1" applyFill="1" applyFont="1">
      <alignment shrinkToFit="0" vertical="bottom" wrapText="0"/>
    </xf>
    <xf borderId="43" fillId="6" fontId="28" numFmtId="0" xfId="0" applyAlignment="1" applyBorder="1" applyFill="1" applyFont="1">
      <alignment horizontal="center" shrinkToFit="0" vertical="bottom" wrapText="0"/>
    </xf>
    <xf borderId="44" fillId="6" fontId="28" numFmtId="0" xfId="0" applyAlignment="1" applyBorder="1" applyFill="1" applyFont="1">
      <alignment horizontal="center" shrinkToFit="0" vertical="bottom" wrapText="0"/>
    </xf>
    <xf borderId="1" fillId="2" fontId="14" numFmtId="10" xfId="0" applyAlignment="1" applyBorder="1" applyFill="1" applyFont="1" applyNumberFormat="1">
      <alignment shrinkToFit="0" vertical="bottom" wrapText="0"/>
    </xf>
    <xf borderId="1" fillId="2" fontId="14" numFmtId="9" xfId="0" applyAlignment="1" applyBorder="1" applyFill="1" applyFont="1" applyNumberFormat="1">
      <alignment shrinkToFit="0" vertical="bottom" wrapText="0"/>
    </xf>
    <xf borderId="1" fillId="2" fontId="24" numFmtId="0" xfId="0" applyAlignment="1" applyBorder="1" applyFill="1" applyFont="1">
      <alignment shrinkToFit="0" vertical="bottom" wrapText="0"/>
    </xf>
    <xf borderId="1" fillId="2" fontId="29" numFmtId="2" xfId="0" applyAlignment="1" applyBorder="1" applyFill="1" applyFont="1" applyNumberFormat="1">
      <alignment horizontal="right" shrinkToFit="0" vertical="bottom" wrapText="1"/>
    </xf>
    <xf borderId="1" fillId="2" fontId="27" numFmtId="0" xfId="0" applyAlignment="1" applyBorder="1" applyFill="1" applyFont="1">
      <alignment shrinkToFit="0" vertical="bottom" wrapText="0"/>
    </xf>
    <xf borderId="45" fillId="10" fontId="22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8.75"/>
    <col customWidth="1" min="5" max="5" width="8.0"/>
    <col customWidth="1" min="6" max="6" width="55.63"/>
    <col customWidth="1" min="7" max="7" width="31.0"/>
    <col customWidth="1" min="8" max="23" width="8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75.75" customHeight="1">
      <c r="A2" s="10"/>
      <c r="B2" s="17" t="s">
        <v>6</v>
      </c>
      <c r="C2" s="18"/>
      <c r="D2" s="18"/>
      <c r="E2" s="18"/>
      <c r="F2" s="18"/>
      <c r="G2" s="20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ht="12.75" customHeight="1">
      <c r="A3" s="1"/>
      <c r="B3" s="25"/>
      <c r="C3" s="28"/>
      <c r="D3" s="1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4.25" customHeight="1">
      <c r="A4" s="1"/>
      <c r="B4" s="36" t="s">
        <v>11</v>
      </c>
      <c r="C4" s="40" t="s">
        <v>17</v>
      </c>
      <c r="D4" s="18"/>
      <c r="E4" s="20"/>
      <c r="F4" s="36" t="s">
        <v>22</v>
      </c>
      <c r="G4" s="43" t="s">
        <v>23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4.25" customHeight="1">
      <c r="A5" s="1"/>
      <c r="B5" s="36" t="s">
        <v>27</v>
      </c>
      <c r="C5" s="40" t="s">
        <v>29</v>
      </c>
      <c r="D5" s="18"/>
      <c r="E5" s="20"/>
      <c r="F5" s="36" t="s">
        <v>31</v>
      </c>
      <c r="G5" s="43" t="s">
        <v>32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1"/>
      <c r="B6" s="46" t="s">
        <v>38</v>
      </c>
      <c r="C6" s="47" t="s">
        <v>42</v>
      </c>
      <c r="D6" s="48"/>
      <c r="E6" s="49"/>
      <c r="F6" s="36" t="s">
        <v>49</v>
      </c>
      <c r="G6" s="50">
        <v>46322.0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3.5" customHeight="1">
      <c r="A7" s="1"/>
      <c r="B7" s="54"/>
      <c r="C7" s="56"/>
      <c r="D7" s="58"/>
      <c r="E7" s="59"/>
      <c r="F7" s="36" t="s">
        <v>61</v>
      </c>
      <c r="G7" s="62" t="s">
        <v>62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2.75" customHeight="1">
      <c r="A8" s="1"/>
      <c r="B8" s="63"/>
      <c r="C8" s="28"/>
      <c r="D8" s="1"/>
      <c r="E8" s="1"/>
      <c r="F8" s="25"/>
      <c r="G8" s="2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2.75" customHeight="1">
      <c r="A10" s="1"/>
      <c r="B10" s="66" t="s">
        <v>73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2.75" customHeight="1">
      <c r="A11" s="69"/>
      <c r="B11" s="71" t="s">
        <v>78</v>
      </c>
      <c r="C11" s="72" t="s">
        <v>61</v>
      </c>
      <c r="D11" s="72" t="s">
        <v>81</v>
      </c>
      <c r="E11" s="72" t="s">
        <v>83</v>
      </c>
      <c r="F11" s="72" t="s">
        <v>85</v>
      </c>
      <c r="G11" s="72" t="s">
        <v>86</v>
      </c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</row>
    <row r="12" ht="120.0" customHeight="1">
      <c r="A12" s="80"/>
      <c r="B12" s="82">
        <v>46322.0</v>
      </c>
      <c r="C12" s="84" t="s">
        <v>62</v>
      </c>
      <c r="D12" s="88" t="s">
        <v>91</v>
      </c>
      <c r="E12" s="88" t="s">
        <v>92</v>
      </c>
      <c r="F12" s="91" t="s">
        <v>94</v>
      </c>
      <c r="G12" s="92" t="s">
        <v>97</v>
      </c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</row>
    <row r="13" ht="21.75" customHeight="1">
      <c r="A13" s="80"/>
      <c r="B13" s="93"/>
      <c r="C13" s="84"/>
      <c r="D13" s="88"/>
      <c r="E13" s="88"/>
      <c r="F13" s="88"/>
      <c r="G13" s="88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ht="19.5" customHeight="1">
      <c r="A14" s="80"/>
      <c r="B14" s="93"/>
      <c r="C14" s="84"/>
      <c r="D14" s="88"/>
      <c r="E14" s="88"/>
      <c r="F14" s="88"/>
      <c r="G14" s="88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</row>
    <row r="15" ht="21.75" customHeight="1">
      <c r="A15" s="80"/>
      <c r="B15" s="93"/>
      <c r="C15" s="84"/>
      <c r="D15" s="88"/>
      <c r="E15" s="88"/>
      <c r="F15" s="88"/>
      <c r="G15" s="88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</row>
    <row r="16" ht="19.5" customHeight="1">
      <c r="A16" s="80"/>
      <c r="B16" s="93"/>
      <c r="C16" s="84"/>
      <c r="D16" s="88"/>
      <c r="E16" s="88"/>
      <c r="F16" s="88"/>
      <c r="G16" s="88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</row>
    <row r="17" ht="21.75" customHeight="1">
      <c r="A17" s="80"/>
      <c r="B17" s="93"/>
      <c r="C17" s="84"/>
      <c r="D17" s="88"/>
      <c r="E17" s="88"/>
      <c r="F17" s="88"/>
      <c r="G17" s="88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</row>
    <row r="18" ht="19.5" customHeight="1">
      <c r="A18" s="80"/>
      <c r="B18" s="93"/>
      <c r="C18" s="84"/>
      <c r="D18" s="88"/>
      <c r="E18" s="88"/>
      <c r="F18" s="88"/>
      <c r="G18" s="88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31.0"/>
    <col customWidth="1" min="4" max="4" width="23.25"/>
    <col customWidth="1" min="5" max="5" width="63.88"/>
    <col customWidth="1" min="6" max="6" width="74.25"/>
    <col customWidth="1" min="7" max="26" width="8.0"/>
  </cols>
  <sheetData>
    <row r="1" ht="25.5" customHeight="1">
      <c r="A1" s="3"/>
      <c r="B1" s="4"/>
      <c r="C1" s="6"/>
      <c r="D1" s="9" t="s">
        <v>3</v>
      </c>
      <c r="E1" s="12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/>
      <c r="B2" s="4"/>
      <c r="C2" s="6"/>
      <c r="D2" s="21"/>
      <c r="E2" s="21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/>
      <c r="B3" s="27" t="s">
        <v>11</v>
      </c>
      <c r="C3" s="30"/>
      <c r="D3" s="44" t="str">
        <f>Cover!C4</f>
        <v>OrangeHRM – Module Admin</v>
      </c>
      <c r="E3" s="18"/>
      <c r="F3" s="2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27" t="s">
        <v>27</v>
      </c>
      <c r="C4" s="30"/>
      <c r="D4" s="44" t="str">
        <f>Cover!C5</f>
        <v>OHRM_ADM</v>
      </c>
      <c r="E4" s="18"/>
      <c r="F4" s="2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0.0" customHeight="1">
      <c r="A5" s="52"/>
      <c r="B5" s="55" t="s">
        <v>54</v>
      </c>
      <c r="C5" s="20"/>
      <c r="D5" s="61" t="s">
        <v>60</v>
      </c>
      <c r="E5" s="18"/>
      <c r="F5" s="20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2.75" customHeight="1">
      <c r="A6" s="3"/>
      <c r="B6" s="6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65"/>
      <c r="B7" s="67"/>
      <c r="C7" s="70"/>
      <c r="D7" s="70"/>
      <c r="E7" s="70"/>
      <c r="F7" s="70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21.0" customHeight="1">
      <c r="A8" s="73"/>
      <c r="B8" s="77" t="s">
        <v>84</v>
      </c>
      <c r="C8" s="79" t="s">
        <v>87</v>
      </c>
      <c r="D8" s="79" t="s">
        <v>88</v>
      </c>
      <c r="E8" s="79" t="s">
        <v>89</v>
      </c>
      <c r="F8" s="79" t="s">
        <v>90</v>
      </c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79.5" customHeight="1">
      <c r="A9" s="3"/>
      <c r="B9" s="87">
        <v>1.0</v>
      </c>
      <c r="C9" s="90" t="s">
        <v>93</v>
      </c>
      <c r="D9" s="96" t="s">
        <v>101</v>
      </c>
      <c r="E9" s="98" t="s">
        <v>109</v>
      </c>
      <c r="F9" s="99" t="s">
        <v>112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79.5" customHeight="1">
      <c r="A10" s="3"/>
      <c r="B10" s="87">
        <v>2.0</v>
      </c>
      <c r="C10" s="90" t="s">
        <v>116</v>
      </c>
      <c r="D10" s="103" t="s">
        <v>119</v>
      </c>
      <c r="E10" s="98" t="s">
        <v>129</v>
      </c>
      <c r="F10" s="99" t="s">
        <v>130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79.5" customHeight="1">
      <c r="A11" s="3"/>
      <c r="B11" s="87">
        <v>3.0</v>
      </c>
      <c r="C11" s="90" t="s">
        <v>135</v>
      </c>
      <c r="D11" s="96" t="s">
        <v>136</v>
      </c>
      <c r="E11" s="98" t="s">
        <v>140</v>
      </c>
      <c r="F11" s="99" t="s">
        <v>141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4"/>
      <c r="C12" s="6"/>
      <c r="D12" s="6"/>
      <c r="E12" s="6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4"/>
      <c r="C13" s="6"/>
      <c r="D13" s="6"/>
      <c r="E13" s="6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4"/>
      <c r="C14" s="6"/>
      <c r="D14" s="6"/>
      <c r="E14" s="6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4"/>
      <c r="C15" s="6"/>
      <c r="D15" s="6"/>
      <c r="E15" s="6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4"/>
      <c r="C16" s="6"/>
      <c r="D16" s="6"/>
      <c r="E16" s="6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4"/>
      <c r="C17" s="6"/>
      <c r="D17" s="6"/>
      <c r="E17" s="6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4"/>
      <c r="C18" s="6"/>
      <c r="D18" s="6"/>
      <c r="E18" s="6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4"/>
      <c r="C19" s="6"/>
      <c r="D19" s="6"/>
      <c r="E19" s="6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4"/>
      <c r="C20" s="6"/>
      <c r="D20" s="6"/>
      <c r="E20" s="6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4"/>
      <c r="C21" s="6"/>
      <c r="D21" s="6"/>
      <c r="E21" s="6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4"/>
      <c r="C22" s="6"/>
      <c r="D22" s="6"/>
      <c r="E22" s="6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4"/>
      <c r="C23" s="6"/>
      <c r="D23" s="6"/>
      <c r="E23" s="6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4"/>
      <c r="C24" s="6"/>
      <c r="D24" s="6"/>
      <c r="E24" s="6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4"/>
      <c r="C25" s="6"/>
      <c r="D25" s="6"/>
      <c r="E25" s="6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4"/>
      <c r="C26" s="6"/>
      <c r="D26" s="6"/>
      <c r="E26" s="6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4"/>
      <c r="C27" s="6"/>
      <c r="D27" s="6"/>
      <c r="E27" s="6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4"/>
      <c r="C28" s="6"/>
      <c r="D28" s="6"/>
      <c r="E28" s="6"/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4"/>
      <c r="C29" s="6"/>
      <c r="D29" s="6"/>
      <c r="E29" s="6"/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4"/>
      <c r="C30" s="6"/>
      <c r="D30" s="6"/>
      <c r="E30" s="6"/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4"/>
      <c r="C31" s="6"/>
      <c r="D31" s="6"/>
      <c r="E31" s="6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4"/>
      <c r="C32" s="6"/>
      <c r="D32" s="6"/>
      <c r="E32" s="6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4"/>
      <c r="C33" s="6"/>
      <c r="D33" s="6"/>
      <c r="E33" s="6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4"/>
      <c r="C34" s="6"/>
      <c r="D34" s="6"/>
      <c r="E34" s="6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4"/>
      <c r="C35" s="6"/>
      <c r="D35" s="6"/>
      <c r="E35" s="6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4"/>
      <c r="C36" s="6"/>
      <c r="D36" s="6"/>
      <c r="E36" s="6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4"/>
      <c r="C37" s="6"/>
      <c r="D37" s="6"/>
      <c r="E37" s="6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4"/>
      <c r="C38" s="6"/>
      <c r="D38" s="6"/>
      <c r="E38" s="6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4"/>
      <c r="C39" s="6"/>
      <c r="D39" s="6"/>
      <c r="E39" s="6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4"/>
      <c r="C40" s="6"/>
      <c r="D40" s="6"/>
      <c r="E40" s="6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4"/>
      <c r="C41" s="6"/>
      <c r="D41" s="6"/>
      <c r="E41" s="6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4"/>
      <c r="C42" s="6"/>
      <c r="D42" s="6"/>
      <c r="E42" s="6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4"/>
      <c r="C43" s="6"/>
      <c r="D43" s="6"/>
      <c r="E43" s="6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4"/>
      <c r="C44" s="6"/>
      <c r="D44" s="6"/>
      <c r="E44" s="6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4"/>
      <c r="C45" s="6"/>
      <c r="D45" s="6"/>
      <c r="E45" s="6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4"/>
      <c r="C46" s="6"/>
      <c r="D46" s="6"/>
      <c r="E46" s="6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4"/>
      <c r="C47" s="6"/>
      <c r="D47" s="6"/>
      <c r="E47" s="6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4"/>
      <c r="C48" s="6"/>
      <c r="D48" s="6"/>
      <c r="E48" s="6"/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4"/>
      <c r="C49" s="6"/>
      <c r="D49" s="6"/>
      <c r="E49" s="6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4"/>
      <c r="C50" s="6"/>
      <c r="D50" s="6"/>
      <c r="E50" s="6"/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4"/>
      <c r="C51" s="6"/>
      <c r="D51" s="6"/>
      <c r="E51" s="6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4"/>
      <c r="C52" s="6"/>
      <c r="D52" s="6"/>
      <c r="E52" s="6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4"/>
      <c r="C53" s="6"/>
      <c r="D53" s="6"/>
      <c r="E53" s="6"/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4"/>
      <c r="C54" s="6"/>
      <c r="D54" s="6"/>
      <c r="E54" s="6"/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4"/>
      <c r="C55" s="6"/>
      <c r="D55" s="6"/>
      <c r="E55" s="6"/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4"/>
      <c r="C56" s="6"/>
      <c r="D56" s="6"/>
      <c r="E56" s="6"/>
      <c r="F56" s="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4"/>
      <c r="C57" s="6"/>
      <c r="D57" s="6"/>
      <c r="E57" s="6"/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4"/>
      <c r="C58" s="6"/>
      <c r="D58" s="6"/>
      <c r="E58" s="6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4"/>
      <c r="C59" s="6"/>
      <c r="D59" s="6"/>
      <c r="E59" s="6"/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4"/>
      <c r="C60" s="6"/>
      <c r="D60" s="6"/>
      <c r="E60" s="6"/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4"/>
      <c r="C61" s="6"/>
      <c r="D61" s="6"/>
      <c r="E61" s="6"/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4"/>
      <c r="C62" s="6"/>
      <c r="D62" s="6"/>
      <c r="E62" s="6"/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4"/>
      <c r="C63" s="6"/>
      <c r="D63" s="6"/>
      <c r="E63" s="6"/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4"/>
      <c r="C64" s="6"/>
      <c r="D64" s="6"/>
      <c r="E64" s="6"/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4"/>
      <c r="C65" s="6"/>
      <c r="D65" s="6"/>
      <c r="E65" s="6"/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4"/>
      <c r="C66" s="6"/>
      <c r="D66" s="6"/>
      <c r="E66" s="6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4"/>
      <c r="C67" s="6"/>
      <c r="D67" s="6"/>
      <c r="E67" s="6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4"/>
      <c r="C68" s="6"/>
      <c r="D68" s="6"/>
      <c r="E68" s="6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4"/>
      <c r="C69" s="6"/>
      <c r="D69" s="6"/>
      <c r="E69" s="6"/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4"/>
      <c r="C70" s="6"/>
      <c r="D70" s="6"/>
      <c r="E70" s="6"/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4"/>
      <c r="C71" s="6"/>
      <c r="D71" s="6"/>
      <c r="E71" s="6"/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4"/>
      <c r="C72" s="6"/>
      <c r="D72" s="6"/>
      <c r="E72" s="6"/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4"/>
      <c r="C73" s="6"/>
      <c r="D73" s="6"/>
      <c r="E73" s="6"/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4"/>
      <c r="C74" s="6"/>
      <c r="D74" s="6"/>
      <c r="E74" s="6"/>
      <c r="F74" s="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4"/>
      <c r="C75" s="6"/>
      <c r="D75" s="6"/>
      <c r="E75" s="6"/>
      <c r="F75" s="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4"/>
      <c r="C76" s="6"/>
      <c r="D76" s="6"/>
      <c r="E76" s="6"/>
      <c r="F76" s="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4"/>
      <c r="C77" s="6"/>
      <c r="D77" s="6"/>
      <c r="E77" s="6"/>
      <c r="F77" s="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4"/>
      <c r="C78" s="6"/>
      <c r="D78" s="6"/>
      <c r="E78" s="6"/>
      <c r="F78" s="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4"/>
      <c r="C79" s="6"/>
      <c r="D79" s="6"/>
      <c r="E79" s="6"/>
      <c r="F79" s="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4"/>
      <c r="C80" s="6"/>
      <c r="D80" s="6"/>
      <c r="E80" s="6"/>
      <c r="F80" s="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4"/>
      <c r="C81" s="6"/>
      <c r="D81" s="6"/>
      <c r="E81" s="6"/>
      <c r="F81" s="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4"/>
      <c r="C82" s="6"/>
      <c r="D82" s="6"/>
      <c r="E82" s="6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4"/>
      <c r="C83" s="6"/>
      <c r="D83" s="6"/>
      <c r="E83" s="6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4"/>
      <c r="C84" s="6"/>
      <c r="D84" s="6"/>
      <c r="E84" s="6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4"/>
      <c r="C85" s="6"/>
      <c r="D85" s="6"/>
      <c r="E85" s="6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4"/>
      <c r="C86" s="6"/>
      <c r="D86" s="6"/>
      <c r="E86" s="6"/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4"/>
      <c r="C87" s="6"/>
      <c r="D87" s="6"/>
      <c r="E87" s="6"/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4"/>
      <c r="C88" s="6"/>
      <c r="D88" s="6"/>
      <c r="E88" s="6"/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4"/>
      <c r="C89" s="6"/>
      <c r="D89" s="6"/>
      <c r="E89" s="6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4"/>
      <c r="C90" s="6"/>
      <c r="D90" s="6"/>
      <c r="E90" s="6"/>
      <c r="F90" s="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4"/>
      <c r="C91" s="6"/>
      <c r="D91" s="6"/>
      <c r="E91" s="6"/>
      <c r="F91" s="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4"/>
      <c r="C92" s="6"/>
      <c r="D92" s="6"/>
      <c r="E92" s="6"/>
      <c r="F92" s="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4"/>
      <c r="C93" s="6"/>
      <c r="D93" s="6"/>
      <c r="E93" s="6"/>
      <c r="F93" s="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4"/>
      <c r="C94" s="6"/>
      <c r="D94" s="6"/>
      <c r="E94" s="6"/>
      <c r="F94" s="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4"/>
      <c r="C95" s="6"/>
      <c r="D95" s="6"/>
      <c r="E95" s="6"/>
      <c r="F95" s="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4"/>
      <c r="C96" s="6"/>
      <c r="D96" s="6"/>
      <c r="E96" s="6"/>
      <c r="F96" s="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4"/>
      <c r="C97" s="6"/>
      <c r="D97" s="6"/>
      <c r="E97" s="6"/>
      <c r="F97" s="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4"/>
      <c r="C98" s="6"/>
      <c r="D98" s="6"/>
      <c r="E98" s="6"/>
      <c r="F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4"/>
      <c r="C99" s="6"/>
      <c r="D99" s="6"/>
      <c r="E99" s="6"/>
      <c r="F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4"/>
      <c r="C100" s="6"/>
      <c r="D100" s="6"/>
      <c r="E100" s="6"/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4"/>
      <c r="C101" s="6"/>
      <c r="D101" s="6"/>
      <c r="E101" s="6"/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4"/>
      <c r="C102" s="6"/>
      <c r="D102" s="6"/>
      <c r="E102" s="6"/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4"/>
      <c r="C103" s="6"/>
      <c r="D103" s="6"/>
      <c r="E103" s="6"/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4"/>
      <c r="C104" s="6"/>
      <c r="D104" s="6"/>
      <c r="E104" s="6"/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4"/>
      <c r="C105" s="6"/>
      <c r="D105" s="6"/>
      <c r="E105" s="6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4"/>
      <c r="C106" s="6"/>
      <c r="D106" s="6"/>
      <c r="E106" s="6"/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4"/>
      <c r="C107" s="6"/>
      <c r="D107" s="6"/>
      <c r="E107" s="6"/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4"/>
      <c r="C108" s="6"/>
      <c r="D108" s="6"/>
      <c r="E108" s="6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4"/>
      <c r="C109" s="6"/>
      <c r="D109" s="6"/>
      <c r="E109" s="6"/>
      <c r="F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4"/>
      <c r="C110" s="6"/>
      <c r="D110" s="6"/>
      <c r="E110" s="6"/>
      <c r="F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4"/>
      <c r="C111" s="6"/>
      <c r="D111" s="6"/>
      <c r="E111" s="6"/>
      <c r="F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4"/>
      <c r="C112" s="6"/>
      <c r="D112" s="6"/>
      <c r="E112" s="6"/>
      <c r="F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4"/>
      <c r="C113" s="6"/>
      <c r="D113" s="6"/>
      <c r="E113" s="6"/>
      <c r="F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4"/>
      <c r="C114" s="6"/>
      <c r="D114" s="6"/>
      <c r="E114" s="6"/>
      <c r="F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4"/>
      <c r="C115" s="6"/>
      <c r="D115" s="6"/>
      <c r="E115" s="6"/>
      <c r="F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4"/>
      <c r="C116" s="6"/>
      <c r="D116" s="6"/>
      <c r="E116" s="6"/>
      <c r="F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4"/>
      <c r="C117" s="6"/>
      <c r="D117" s="6"/>
      <c r="E117" s="6"/>
      <c r="F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4"/>
      <c r="C118" s="6"/>
      <c r="D118" s="6"/>
      <c r="E118" s="6"/>
      <c r="F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4"/>
      <c r="C119" s="6"/>
      <c r="D119" s="6"/>
      <c r="E119" s="6"/>
      <c r="F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4"/>
      <c r="C120" s="6"/>
      <c r="D120" s="6"/>
      <c r="E120" s="6"/>
      <c r="F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4"/>
      <c r="C121" s="6"/>
      <c r="D121" s="6"/>
      <c r="E121" s="6"/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4"/>
      <c r="C122" s="6"/>
      <c r="D122" s="6"/>
      <c r="E122" s="6"/>
      <c r="F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4"/>
      <c r="C123" s="6"/>
      <c r="D123" s="6"/>
      <c r="E123" s="6"/>
      <c r="F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4"/>
      <c r="C124" s="6"/>
      <c r="D124" s="6"/>
      <c r="E124" s="6"/>
      <c r="F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4"/>
      <c r="C125" s="6"/>
      <c r="D125" s="6"/>
      <c r="E125" s="6"/>
      <c r="F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4"/>
      <c r="C126" s="6"/>
      <c r="D126" s="6"/>
      <c r="E126" s="6"/>
      <c r="F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4"/>
      <c r="C127" s="6"/>
      <c r="D127" s="6"/>
      <c r="E127" s="6"/>
      <c r="F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4"/>
      <c r="C128" s="6"/>
      <c r="D128" s="6"/>
      <c r="E128" s="6"/>
      <c r="F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4"/>
      <c r="C129" s="6"/>
      <c r="D129" s="6"/>
      <c r="E129" s="6"/>
      <c r="F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4"/>
      <c r="C130" s="6"/>
      <c r="D130" s="6"/>
      <c r="E130" s="6"/>
      <c r="F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4"/>
      <c r="C131" s="6"/>
      <c r="D131" s="6"/>
      <c r="E131" s="6"/>
      <c r="F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4"/>
      <c r="C132" s="6"/>
      <c r="D132" s="6"/>
      <c r="E132" s="6"/>
      <c r="F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4"/>
      <c r="C133" s="6"/>
      <c r="D133" s="6"/>
      <c r="E133" s="6"/>
      <c r="F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4"/>
      <c r="C134" s="6"/>
      <c r="D134" s="6"/>
      <c r="E134" s="6"/>
      <c r="F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4"/>
      <c r="C135" s="6"/>
      <c r="D135" s="6"/>
      <c r="E135" s="6"/>
      <c r="F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4"/>
      <c r="C136" s="6"/>
      <c r="D136" s="6"/>
      <c r="E136" s="6"/>
      <c r="F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4"/>
      <c r="C137" s="6"/>
      <c r="D137" s="6"/>
      <c r="E137" s="6"/>
      <c r="F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4"/>
      <c r="C138" s="6"/>
      <c r="D138" s="6"/>
      <c r="E138" s="6"/>
      <c r="F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4"/>
      <c r="C139" s="6"/>
      <c r="D139" s="6"/>
      <c r="E139" s="6"/>
      <c r="F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4"/>
      <c r="C140" s="6"/>
      <c r="D140" s="6"/>
      <c r="E140" s="6"/>
      <c r="F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4"/>
      <c r="C141" s="6"/>
      <c r="D141" s="6"/>
      <c r="E141" s="6"/>
      <c r="F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4"/>
      <c r="C142" s="6"/>
      <c r="D142" s="6"/>
      <c r="E142" s="6"/>
      <c r="F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4"/>
      <c r="C143" s="6"/>
      <c r="D143" s="6"/>
      <c r="E143" s="6"/>
      <c r="F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4"/>
      <c r="C144" s="6"/>
      <c r="D144" s="6"/>
      <c r="E144" s="6"/>
      <c r="F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4"/>
      <c r="C145" s="6"/>
      <c r="D145" s="6"/>
      <c r="E145" s="6"/>
      <c r="F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4"/>
      <c r="C146" s="6"/>
      <c r="D146" s="6"/>
      <c r="E146" s="6"/>
      <c r="F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4"/>
      <c r="C147" s="6"/>
      <c r="D147" s="6"/>
      <c r="E147" s="6"/>
      <c r="F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4"/>
      <c r="C148" s="6"/>
      <c r="D148" s="6"/>
      <c r="E148" s="6"/>
      <c r="F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4"/>
      <c r="C149" s="6"/>
      <c r="D149" s="6"/>
      <c r="E149" s="6"/>
      <c r="F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4"/>
      <c r="C150" s="6"/>
      <c r="D150" s="6"/>
      <c r="E150" s="6"/>
      <c r="F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4"/>
      <c r="C151" s="6"/>
      <c r="D151" s="6"/>
      <c r="E151" s="6"/>
      <c r="F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4"/>
      <c r="C152" s="6"/>
      <c r="D152" s="6"/>
      <c r="E152" s="6"/>
      <c r="F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4"/>
      <c r="C153" s="6"/>
      <c r="D153" s="6"/>
      <c r="E153" s="6"/>
      <c r="F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4"/>
      <c r="C154" s="6"/>
      <c r="D154" s="6"/>
      <c r="E154" s="6"/>
      <c r="F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4"/>
      <c r="C155" s="6"/>
      <c r="D155" s="6"/>
      <c r="E155" s="6"/>
      <c r="F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4"/>
      <c r="C156" s="6"/>
      <c r="D156" s="6"/>
      <c r="E156" s="6"/>
      <c r="F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4"/>
      <c r="C157" s="6"/>
      <c r="D157" s="6"/>
      <c r="E157" s="6"/>
      <c r="F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4"/>
      <c r="C158" s="6"/>
      <c r="D158" s="6"/>
      <c r="E158" s="6"/>
      <c r="F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4"/>
      <c r="C159" s="6"/>
      <c r="D159" s="6"/>
      <c r="E159" s="6"/>
      <c r="F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4"/>
      <c r="C160" s="6"/>
      <c r="D160" s="6"/>
      <c r="E160" s="6"/>
      <c r="F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4"/>
      <c r="C161" s="6"/>
      <c r="D161" s="6"/>
      <c r="E161" s="6"/>
      <c r="F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4"/>
      <c r="C162" s="6"/>
      <c r="D162" s="6"/>
      <c r="E162" s="6"/>
      <c r="F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4"/>
      <c r="C163" s="6"/>
      <c r="D163" s="6"/>
      <c r="E163" s="6"/>
      <c r="F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4"/>
      <c r="C164" s="6"/>
      <c r="D164" s="6"/>
      <c r="E164" s="6"/>
      <c r="F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4"/>
      <c r="C165" s="6"/>
      <c r="D165" s="6"/>
      <c r="E165" s="6"/>
      <c r="F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4"/>
      <c r="C166" s="6"/>
      <c r="D166" s="6"/>
      <c r="E166" s="6"/>
      <c r="F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4"/>
      <c r="C167" s="6"/>
      <c r="D167" s="6"/>
      <c r="E167" s="6"/>
      <c r="F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4"/>
      <c r="C168" s="6"/>
      <c r="D168" s="6"/>
      <c r="E168" s="6"/>
      <c r="F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4"/>
      <c r="C169" s="6"/>
      <c r="D169" s="6"/>
      <c r="E169" s="6"/>
      <c r="F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4"/>
      <c r="C170" s="6"/>
      <c r="D170" s="6"/>
      <c r="E170" s="6"/>
      <c r="F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4"/>
      <c r="C171" s="6"/>
      <c r="D171" s="6"/>
      <c r="E171" s="6"/>
      <c r="F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4"/>
      <c r="C172" s="6"/>
      <c r="D172" s="6"/>
      <c r="E172" s="6"/>
      <c r="F172" s="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4"/>
      <c r="C173" s="6"/>
      <c r="D173" s="6"/>
      <c r="E173" s="6"/>
      <c r="F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4"/>
      <c r="C174" s="6"/>
      <c r="D174" s="6"/>
      <c r="E174" s="6"/>
      <c r="F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4"/>
      <c r="C175" s="6"/>
      <c r="D175" s="6"/>
      <c r="E175" s="6"/>
      <c r="F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4"/>
      <c r="C176" s="6"/>
      <c r="D176" s="6"/>
      <c r="E176" s="6"/>
      <c r="F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4"/>
      <c r="C177" s="6"/>
      <c r="D177" s="6"/>
      <c r="E177" s="6"/>
      <c r="F177" s="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4"/>
      <c r="C178" s="6"/>
      <c r="D178" s="6"/>
      <c r="E178" s="6"/>
      <c r="F178" s="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4"/>
      <c r="C179" s="6"/>
      <c r="D179" s="6"/>
      <c r="E179" s="6"/>
      <c r="F179" s="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4"/>
      <c r="C180" s="6"/>
      <c r="D180" s="6"/>
      <c r="E180" s="6"/>
      <c r="F180" s="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4"/>
      <c r="C181" s="6"/>
      <c r="D181" s="6"/>
      <c r="E181" s="6"/>
      <c r="F181" s="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4"/>
      <c r="C182" s="6"/>
      <c r="D182" s="6"/>
      <c r="E182" s="6"/>
      <c r="F182" s="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4"/>
      <c r="C183" s="6"/>
      <c r="D183" s="6"/>
      <c r="E183" s="6"/>
      <c r="F183" s="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4"/>
      <c r="C184" s="6"/>
      <c r="D184" s="6"/>
      <c r="E184" s="6"/>
      <c r="F184" s="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4"/>
      <c r="C185" s="6"/>
      <c r="D185" s="6"/>
      <c r="E185" s="6"/>
      <c r="F185" s="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4"/>
      <c r="C186" s="6"/>
      <c r="D186" s="6"/>
      <c r="E186" s="6"/>
      <c r="F186" s="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4"/>
      <c r="C187" s="6"/>
      <c r="D187" s="6"/>
      <c r="E187" s="6"/>
      <c r="F187" s="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4"/>
      <c r="C188" s="6"/>
      <c r="D188" s="6"/>
      <c r="E188" s="6"/>
      <c r="F188" s="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4"/>
      <c r="C189" s="6"/>
      <c r="D189" s="6"/>
      <c r="E189" s="6"/>
      <c r="F189" s="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4"/>
      <c r="C190" s="6"/>
      <c r="D190" s="6"/>
      <c r="E190" s="6"/>
      <c r="F190" s="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4"/>
      <c r="C191" s="6"/>
      <c r="D191" s="6"/>
      <c r="E191" s="6"/>
      <c r="F191" s="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4"/>
      <c r="C192" s="6"/>
      <c r="D192" s="6"/>
      <c r="E192" s="6"/>
      <c r="F192" s="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4"/>
      <c r="C193" s="6"/>
      <c r="D193" s="6"/>
      <c r="E193" s="6"/>
      <c r="F193" s="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4"/>
      <c r="C194" s="6"/>
      <c r="D194" s="6"/>
      <c r="E194" s="6"/>
      <c r="F194" s="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4"/>
      <c r="C195" s="6"/>
      <c r="D195" s="6"/>
      <c r="E195" s="6"/>
      <c r="F195" s="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4"/>
      <c r="C196" s="6"/>
      <c r="D196" s="6"/>
      <c r="E196" s="6"/>
      <c r="F196" s="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4"/>
      <c r="C197" s="6"/>
      <c r="D197" s="6"/>
      <c r="E197" s="6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4"/>
      <c r="C198" s="6"/>
      <c r="D198" s="6"/>
      <c r="E198" s="6"/>
      <c r="F198" s="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4"/>
      <c r="C199" s="6"/>
      <c r="D199" s="6"/>
      <c r="E199" s="6"/>
      <c r="F199" s="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4"/>
      <c r="C200" s="6"/>
      <c r="D200" s="6"/>
      <c r="E200" s="6"/>
      <c r="F200" s="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4"/>
      <c r="C201" s="6"/>
      <c r="D201" s="6"/>
      <c r="E201" s="6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4"/>
      <c r="C202" s="6"/>
      <c r="D202" s="6"/>
      <c r="E202" s="6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4"/>
      <c r="C203" s="6"/>
      <c r="D203" s="6"/>
      <c r="E203" s="6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4"/>
      <c r="C204" s="6"/>
      <c r="D204" s="6"/>
      <c r="E204" s="6"/>
      <c r="F204" s="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4"/>
      <c r="C205" s="6"/>
      <c r="D205" s="6"/>
      <c r="E205" s="6"/>
      <c r="F205" s="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4"/>
      <c r="C206" s="6"/>
      <c r="D206" s="6"/>
      <c r="E206" s="6"/>
      <c r="F206" s="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4"/>
      <c r="C207" s="6"/>
      <c r="D207" s="6"/>
      <c r="E207" s="6"/>
      <c r="F207" s="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4"/>
      <c r="C208" s="6"/>
      <c r="D208" s="6"/>
      <c r="E208" s="6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4"/>
      <c r="C209" s="6"/>
      <c r="D209" s="6"/>
      <c r="E209" s="6"/>
      <c r="F209" s="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4"/>
      <c r="C210" s="6"/>
      <c r="D210" s="6"/>
      <c r="E210" s="6"/>
      <c r="F210" s="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4"/>
      <c r="C211" s="6"/>
      <c r="D211" s="6"/>
      <c r="E211" s="6"/>
      <c r="F211" s="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4"/>
      <c r="C212" s="6"/>
      <c r="D212" s="6"/>
      <c r="E212" s="6"/>
      <c r="F212" s="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4"/>
      <c r="C213" s="6"/>
      <c r="D213" s="6"/>
      <c r="E213" s="6"/>
      <c r="F213" s="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4"/>
      <c r="C214" s="6"/>
      <c r="D214" s="6"/>
      <c r="E214" s="6"/>
      <c r="F214" s="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4"/>
      <c r="C215" s="6"/>
      <c r="D215" s="6"/>
      <c r="E215" s="6"/>
      <c r="F215" s="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4"/>
      <c r="C216" s="6"/>
      <c r="D216" s="6"/>
      <c r="E216" s="6"/>
      <c r="F216" s="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4"/>
      <c r="C217" s="6"/>
      <c r="D217" s="6"/>
      <c r="E217" s="6"/>
      <c r="F217" s="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4"/>
      <c r="C218" s="6"/>
      <c r="D218" s="6"/>
      <c r="E218" s="6"/>
      <c r="F218" s="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4"/>
      <c r="C219" s="6"/>
      <c r="D219" s="6"/>
      <c r="E219" s="6"/>
      <c r="F219" s="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4"/>
      <c r="C220" s="6"/>
      <c r="D220" s="6"/>
      <c r="E220" s="6"/>
      <c r="F220" s="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D3:F3"/>
    <mergeCell ref="B4:C4"/>
    <mergeCell ref="D4:F4"/>
    <mergeCell ref="B5:C5"/>
    <mergeCell ref="D5:F5"/>
  </mergeCells>
  <hyperlinks>
    <hyperlink display="Tạo tài khoản hệ thống" location="'Tạo tài khoản hệ thống'!A1" ref="D9"/>
    <hyperlink display="Tìm kiếm và chỉnh sửa tài khoản" location="'Tìm kiếm và chỉnh sửa tài khoản'!A1" ref="D10"/>
    <hyperlink display="Quản lý danh mục hệ thống" location="'Quản lý danh mục hệ thống'!A1" ref="D11"/>
  </hyperlink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49.13"/>
    <col customWidth="1" min="3" max="3" width="35.75"/>
    <col customWidth="1" min="4" max="4" width="52.88"/>
    <col customWidth="1" min="5" max="5" width="19.88"/>
    <col customWidth="1" min="6" max="6" width="19.13"/>
  </cols>
  <sheetData>
    <row r="1">
      <c r="A1" s="5" t="s">
        <v>0</v>
      </c>
      <c r="B1" s="8" t="s">
        <v>2</v>
      </c>
      <c r="C1" s="8" t="s">
        <v>4</v>
      </c>
      <c r="D1" s="13" t="s">
        <v>5</v>
      </c>
      <c r="E1" s="13" t="s">
        <v>7</v>
      </c>
      <c r="F1" s="13" t="s">
        <v>8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23" t="s">
        <v>9</v>
      </c>
      <c r="B2" s="24" t="s">
        <v>10</v>
      </c>
      <c r="C2" s="26" t="s">
        <v>12</v>
      </c>
      <c r="D2" s="31" t="s">
        <v>14</v>
      </c>
      <c r="E2" s="34" t="s">
        <v>16</v>
      </c>
      <c r="F2" s="3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9"/>
      <c r="B3" s="16"/>
      <c r="C3" s="26" t="s">
        <v>19</v>
      </c>
      <c r="D3" s="31" t="s">
        <v>20</v>
      </c>
      <c r="E3" s="34" t="s">
        <v>21</v>
      </c>
      <c r="F3" s="42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9"/>
      <c r="B4" s="16"/>
      <c r="C4" s="26" t="s">
        <v>26</v>
      </c>
      <c r="D4" s="31" t="s">
        <v>28</v>
      </c>
      <c r="E4" s="34" t="s">
        <v>16</v>
      </c>
      <c r="F4" s="42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9"/>
      <c r="B5" s="24" t="s">
        <v>33</v>
      </c>
      <c r="C5" s="34" t="s">
        <v>34</v>
      </c>
      <c r="D5" s="31" t="s">
        <v>36</v>
      </c>
      <c r="E5" s="34" t="s">
        <v>16</v>
      </c>
      <c r="F5" s="42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9"/>
      <c r="B6" s="16"/>
      <c r="C6" s="26" t="s">
        <v>39</v>
      </c>
      <c r="D6" s="31" t="s">
        <v>40</v>
      </c>
      <c r="E6" s="34" t="s">
        <v>16</v>
      </c>
      <c r="F6" s="42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9"/>
      <c r="B7" s="24" t="s">
        <v>44</v>
      </c>
      <c r="C7" s="34" t="s">
        <v>45</v>
      </c>
      <c r="D7" s="31" t="s">
        <v>46</v>
      </c>
      <c r="E7" s="34" t="s">
        <v>16</v>
      </c>
      <c r="F7" s="42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9"/>
      <c r="B8" s="16"/>
      <c r="C8" s="26" t="s">
        <v>48</v>
      </c>
      <c r="D8" s="31" t="s">
        <v>50</v>
      </c>
      <c r="E8" s="34" t="s">
        <v>16</v>
      </c>
      <c r="F8" s="42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9"/>
      <c r="B9" s="24" t="s">
        <v>51</v>
      </c>
      <c r="C9" s="34" t="s">
        <v>52</v>
      </c>
      <c r="D9" s="31" t="s">
        <v>53</v>
      </c>
      <c r="E9" s="34" t="s">
        <v>16</v>
      </c>
      <c r="F9" s="42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9"/>
      <c r="B10" s="24" t="s">
        <v>56</v>
      </c>
      <c r="C10" s="34" t="s">
        <v>57</v>
      </c>
      <c r="D10" s="31" t="s">
        <v>58</v>
      </c>
      <c r="E10" s="34" t="s">
        <v>16</v>
      </c>
      <c r="F10" s="42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9"/>
      <c r="B11" s="16"/>
      <c r="C11" s="26" t="s">
        <v>63</v>
      </c>
      <c r="D11" s="31" t="s">
        <v>64</v>
      </c>
      <c r="E11" s="34" t="s">
        <v>16</v>
      </c>
      <c r="F11" s="42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9"/>
      <c r="B12" s="16"/>
      <c r="C12" s="26" t="s">
        <v>65</v>
      </c>
      <c r="D12" s="31" t="s">
        <v>66</v>
      </c>
      <c r="E12" s="34" t="s">
        <v>67</v>
      </c>
      <c r="F12" s="42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9"/>
      <c r="B13" s="24" t="s">
        <v>68</v>
      </c>
      <c r="C13" s="34" t="s">
        <v>69</v>
      </c>
      <c r="D13" s="31" t="s">
        <v>70</v>
      </c>
      <c r="E13" s="34" t="s">
        <v>16</v>
      </c>
      <c r="F13" s="42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9"/>
      <c r="B14" s="16"/>
      <c r="C14" s="26" t="s">
        <v>71</v>
      </c>
      <c r="D14" s="31" t="s">
        <v>72</v>
      </c>
      <c r="E14" s="34" t="s">
        <v>16</v>
      </c>
      <c r="F14" s="42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9"/>
      <c r="B15" s="16"/>
      <c r="C15" s="26" t="s">
        <v>74</v>
      </c>
      <c r="D15" s="31" t="s">
        <v>75</v>
      </c>
      <c r="E15" s="34" t="s">
        <v>16</v>
      </c>
      <c r="F15" s="42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9"/>
      <c r="B16" s="16"/>
      <c r="C16" s="26" t="s">
        <v>76</v>
      </c>
      <c r="D16" s="31" t="s">
        <v>77</v>
      </c>
      <c r="E16" s="34" t="s">
        <v>67</v>
      </c>
      <c r="F16" s="42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9"/>
      <c r="B17" s="24" t="s">
        <v>79</v>
      </c>
      <c r="C17" s="26" t="s">
        <v>80</v>
      </c>
      <c r="D17" s="74" t="s">
        <v>82</v>
      </c>
      <c r="E17" s="76" t="s">
        <v>67</v>
      </c>
      <c r="F17" s="78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6.25" customHeight="1">
      <c r="A18" s="81"/>
      <c r="B18" s="83"/>
      <c r="C18" s="85"/>
      <c r="D18" s="86"/>
      <c r="E18" s="86"/>
      <c r="F18" s="89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3" t="s">
        <v>95</v>
      </c>
      <c r="B19" s="24" t="s">
        <v>96</v>
      </c>
      <c r="C19" s="26" t="s">
        <v>98</v>
      </c>
      <c r="D19" s="31" t="s">
        <v>99</v>
      </c>
      <c r="E19" s="34" t="s">
        <v>21</v>
      </c>
      <c r="F19" s="3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9"/>
      <c r="B20" s="24" t="s">
        <v>102</v>
      </c>
      <c r="C20" s="34" t="s">
        <v>103</v>
      </c>
      <c r="D20" s="31" t="s">
        <v>104</v>
      </c>
      <c r="E20" s="34" t="s">
        <v>16</v>
      </c>
      <c r="F20" s="42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39"/>
      <c r="B21" s="16"/>
      <c r="C21" s="26" t="s">
        <v>105</v>
      </c>
      <c r="D21" s="31" t="s">
        <v>106</v>
      </c>
      <c r="E21" s="34" t="s">
        <v>16</v>
      </c>
      <c r="F21" s="42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39"/>
      <c r="B22" s="16"/>
      <c r="C22" s="26" t="s">
        <v>107</v>
      </c>
      <c r="D22" s="31" t="s">
        <v>108</v>
      </c>
      <c r="E22" s="34" t="s">
        <v>16</v>
      </c>
      <c r="F22" s="42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39"/>
      <c r="B23" s="16"/>
      <c r="C23" s="26" t="s">
        <v>110</v>
      </c>
      <c r="D23" s="31" t="s">
        <v>111</v>
      </c>
      <c r="E23" s="34" t="s">
        <v>16</v>
      </c>
      <c r="F23" s="4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39"/>
      <c r="B24" s="16"/>
      <c r="C24" s="26" t="s">
        <v>113</v>
      </c>
      <c r="D24" s="31" t="s">
        <v>114</v>
      </c>
      <c r="E24" s="34" t="s">
        <v>16</v>
      </c>
      <c r="F24" s="4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39"/>
      <c r="B25" s="24" t="s">
        <v>120</v>
      </c>
      <c r="C25" s="34" t="s">
        <v>121</v>
      </c>
      <c r="D25" s="31" t="s">
        <v>122</v>
      </c>
      <c r="E25" s="34" t="s">
        <v>16</v>
      </c>
      <c r="F25" s="4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39"/>
      <c r="B26" s="16"/>
      <c r="C26" s="26" t="s">
        <v>126</v>
      </c>
      <c r="D26" s="31" t="s">
        <v>128</v>
      </c>
      <c r="E26" s="34" t="s">
        <v>16</v>
      </c>
      <c r="F26" s="4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39"/>
      <c r="B27" s="24" t="s">
        <v>132</v>
      </c>
      <c r="C27" s="34" t="s">
        <v>133</v>
      </c>
      <c r="D27" s="31" t="s">
        <v>134</v>
      </c>
      <c r="E27" s="34" t="s">
        <v>16</v>
      </c>
      <c r="F27" s="42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39"/>
      <c r="B28" s="16"/>
      <c r="C28" s="26" t="s">
        <v>138</v>
      </c>
      <c r="D28" s="31" t="s">
        <v>139</v>
      </c>
      <c r="E28" s="34" t="s">
        <v>16</v>
      </c>
      <c r="F28" s="42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39"/>
      <c r="B29" s="24" t="s">
        <v>142</v>
      </c>
      <c r="C29" s="34" t="s">
        <v>143</v>
      </c>
      <c r="D29" s="31" t="s">
        <v>144</v>
      </c>
      <c r="E29" s="34" t="s">
        <v>16</v>
      </c>
      <c r="F29" s="42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39"/>
      <c r="B30" s="24" t="s">
        <v>145</v>
      </c>
      <c r="C30" s="34" t="s">
        <v>146</v>
      </c>
      <c r="D30" s="31" t="s">
        <v>147</v>
      </c>
      <c r="E30" s="34" t="s">
        <v>16</v>
      </c>
      <c r="F30" s="42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39"/>
      <c r="B31" s="16"/>
      <c r="C31" s="26" t="s">
        <v>148</v>
      </c>
      <c r="D31" s="31" t="s">
        <v>149</v>
      </c>
      <c r="E31" s="34" t="s">
        <v>16</v>
      </c>
      <c r="F31" s="42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39"/>
      <c r="B32" s="24" t="s">
        <v>150</v>
      </c>
      <c r="C32" s="34" t="s">
        <v>151</v>
      </c>
      <c r="D32" s="31" t="s">
        <v>152</v>
      </c>
      <c r="E32" s="34" t="s">
        <v>16</v>
      </c>
      <c r="F32" s="42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39"/>
      <c r="B33" s="16"/>
      <c r="C33" s="26" t="s">
        <v>153</v>
      </c>
      <c r="D33" s="31" t="s">
        <v>154</v>
      </c>
      <c r="E33" s="34" t="s">
        <v>16</v>
      </c>
      <c r="F33" s="42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39"/>
      <c r="B34" s="16"/>
      <c r="C34" s="26" t="s">
        <v>155</v>
      </c>
      <c r="D34" s="31" t="s">
        <v>156</v>
      </c>
      <c r="E34" s="34" t="s">
        <v>16</v>
      </c>
      <c r="F34" s="42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39"/>
      <c r="B35" s="24" t="s">
        <v>157</v>
      </c>
      <c r="C35" s="26" t="s">
        <v>158</v>
      </c>
      <c r="D35" s="74" t="s">
        <v>159</v>
      </c>
      <c r="E35" s="76" t="s">
        <v>16</v>
      </c>
      <c r="F35" s="78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26.25" customHeight="1">
      <c r="A36" s="81"/>
      <c r="B36" s="83"/>
      <c r="C36" s="85"/>
      <c r="D36" s="86"/>
      <c r="E36" s="86"/>
      <c r="F36" s="89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3" t="s">
        <v>160</v>
      </c>
      <c r="B37" s="24" t="s">
        <v>161</v>
      </c>
      <c r="C37" s="26" t="s">
        <v>162</v>
      </c>
      <c r="D37" s="31" t="s">
        <v>163</v>
      </c>
      <c r="E37" s="34" t="s">
        <v>16</v>
      </c>
      <c r="F37" s="3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39"/>
      <c r="B38" s="16"/>
      <c r="C38" s="26" t="s">
        <v>19</v>
      </c>
      <c r="D38" s="31" t="s">
        <v>164</v>
      </c>
      <c r="E38" s="34" t="s">
        <v>21</v>
      </c>
      <c r="F38" s="42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39"/>
      <c r="B39" s="24" t="s">
        <v>169</v>
      </c>
      <c r="C39" s="34" t="s">
        <v>170</v>
      </c>
      <c r="D39" s="31" t="s">
        <v>171</v>
      </c>
      <c r="E39" s="34" t="s">
        <v>16</v>
      </c>
      <c r="F39" s="4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39"/>
      <c r="B40" s="16"/>
      <c r="C40" s="26" t="s">
        <v>126</v>
      </c>
      <c r="D40" s="31" t="s">
        <v>172</v>
      </c>
      <c r="E40" s="34" t="s">
        <v>16</v>
      </c>
      <c r="F40" s="42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39"/>
      <c r="B41" s="16"/>
      <c r="C41" s="26" t="s">
        <v>26</v>
      </c>
      <c r="D41" s="31" t="s">
        <v>173</v>
      </c>
      <c r="E41" s="34" t="s">
        <v>16</v>
      </c>
      <c r="F41" s="4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39"/>
      <c r="B42" s="24" t="s">
        <v>174</v>
      </c>
      <c r="C42" s="34" t="s">
        <v>175</v>
      </c>
      <c r="D42" s="31" t="s">
        <v>176</v>
      </c>
      <c r="E42" s="34" t="s">
        <v>16</v>
      </c>
      <c r="F42" s="4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39"/>
      <c r="B43" s="16"/>
      <c r="C43" s="26" t="s">
        <v>177</v>
      </c>
      <c r="D43" s="31" t="s">
        <v>178</v>
      </c>
      <c r="E43" s="34" t="s">
        <v>16</v>
      </c>
      <c r="F43" s="4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39"/>
      <c r="B44" s="24" t="s">
        <v>179</v>
      </c>
      <c r="C44" s="34" t="s">
        <v>180</v>
      </c>
      <c r="D44" s="31" t="s">
        <v>182</v>
      </c>
      <c r="E44" s="34" t="s">
        <v>16</v>
      </c>
      <c r="F44" s="4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39"/>
      <c r="B45" s="16"/>
      <c r="C45" s="26" t="s">
        <v>184</v>
      </c>
      <c r="D45" s="31" t="s">
        <v>185</v>
      </c>
      <c r="E45" s="34" t="s">
        <v>16</v>
      </c>
      <c r="F45" s="4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39"/>
      <c r="B46" s="24" t="s">
        <v>190</v>
      </c>
      <c r="C46" s="34" t="s">
        <v>191</v>
      </c>
      <c r="D46" s="31" t="s">
        <v>192</v>
      </c>
      <c r="E46" s="34" t="s">
        <v>16</v>
      </c>
      <c r="F46" s="42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39"/>
      <c r="B47" s="16"/>
      <c r="C47" s="26" t="s">
        <v>193</v>
      </c>
      <c r="D47" s="31" t="s">
        <v>194</v>
      </c>
      <c r="E47" s="34" t="s">
        <v>16</v>
      </c>
      <c r="F47" s="42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39"/>
      <c r="B48" s="16"/>
      <c r="C48" s="26" t="s">
        <v>195</v>
      </c>
      <c r="D48" s="74" t="s">
        <v>196</v>
      </c>
      <c r="E48" s="76" t="s">
        <v>16</v>
      </c>
      <c r="F48" s="78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78"/>
      <c r="B49" s="78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6.88"/>
    <col customWidth="1" min="3" max="4" width="41.25"/>
    <col customWidth="1" min="5" max="5" width="27.25"/>
    <col customWidth="1" min="6" max="6" width="20.38"/>
    <col customWidth="1" min="7" max="7" width="14.0"/>
    <col customWidth="1" min="8" max="8" width="12.0"/>
    <col customWidth="1" min="9" max="9" width="18.13"/>
  </cols>
  <sheetData>
    <row r="1" ht="15.75" customHeight="1">
      <c r="A1" s="7" t="s">
        <v>1</v>
      </c>
      <c r="B1" s="11"/>
      <c r="C1" s="11"/>
      <c r="D1" s="14"/>
      <c r="E1" s="15"/>
      <c r="F1" s="15"/>
      <c r="G1" s="19"/>
      <c r="H1" s="19"/>
      <c r="I1" s="14"/>
      <c r="J1" s="14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4"/>
      <c r="AB1" s="14"/>
    </row>
    <row r="2" ht="15.75" customHeight="1">
      <c r="A2" s="29" t="s">
        <v>13</v>
      </c>
      <c r="B2" s="32" t="s">
        <v>15</v>
      </c>
      <c r="C2" s="33"/>
      <c r="D2" s="33"/>
      <c r="E2" s="33"/>
      <c r="F2" s="33"/>
      <c r="G2" s="35"/>
      <c r="H2" s="37"/>
      <c r="I2" s="38" t="s">
        <v>18</v>
      </c>
      <c r="J2" s="41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4"/>
      <c r="AB2" s="14"/>
    </row>
    <row r="3" ht="15.75" customHeight="1">
      <c r="A3" s="29" t="s">
        <v>24</v>
      </c>
      <c r="B3" s="32" t="s">
        <v>25</v>
      </c>
      <c r="C3" s="33"/>
      <c r="D3" s="33"/>
      <c r="E3" s="33"/>
      <c r="F3" s="33"/>
      <c r="G3" s="35"/>
      <c r="H3" s="37"/>
      <c r="I3" s="38" t="s">
        <v>30</v>
      </c>
      <c r="J3" s="41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4"/>
      <c r="AB3" s="14"/>
    </row>
    <row r="4" ht="15.75" customHeight="1">
      <c r="A4" s="29" t="s">
        <v>35</v>
      </c>
      <c r="B4" s="45" t="s">
        <v>37</v>
      </c>
      <c r="C4" s="33"/>
      <c r="D4" s="33"/>
      <c r="E4" s="33"/>
      <c r="F4" s="33"/>
      <c r="G4" s="35"/>
      <c r="H4" s="37"/>
      <c r="I4" s="38" t="s">
        <v>41</v>
      </c>
      <c r="J4" s="41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4"/>
      <c r="AB4" s="14"/>
    </row>
    <row r="5" ht="15.75" customHeight="1">
      <c r="A5" s="29" t="s">
        <v>43</v>
      </c>
      <c r="B5" s="32" t="s">
        <v>23</v>
      </c>
      <c r="C5" s="33"/>
      <c r="D5" s="33"/>
      <c r="E5" s="33"/>
      <c r="F5" s="33"/>
      <c r="G5" s="35"/>
      <c r="H5" s="37"/>
      <c r="I5" s="38" t="s">
        <v>47</v>
      </c>
      <c r="J5" s="4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4"/>
      <c r="AB5" s="14"/>
    </row>
    <row r="6" ht="15.75" customHeight="1">
      <c r="A6" s="51" t="s">
        <v>18</v>
      </c>
      <c r="B6" s="53" t="s">
        <v>30</v>
      </c>
      <c r="C6" s="53" t="s">
        <v>47</v>
      </c>
      <c r="D6" s="53" t="s">
        <v>41</v>
      </c>
      <c r="E6" s="57" t="s">
        <v>55</v>
      </c>
      <c r="F6" s="53" t="s">
        <v>59</v>
      </c>
      <c r="G6" s="60"/>
      <c r="H6" s="37"/>
      <c r="I6" s="38" t="s">
        <v>55</v>
      </c>
      <c r="J6" s="4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4"/>
      <c r="AB6" s="14"/>
    </row>
    <row r="7" ht="15.75" customHeight="1">
      <c r="A7" s="68">
        <f>COUNTIF($F$14:$F$63,"Pass")</f>
        <v>29</v>
      </c>
      <c r="B7" s="75">
        <f>COUNTIF($F$14:$F$63,"Fail")</f>
        <v>0</v>
      </c>
      <c r="C7" s="75">
        <f>COUNTIF($F$14:$F$63,"Untested")</f>
        <v>0</v>
      </c>
      <c r="D7" s="75">
        <f>COUNTIF($F$14:$F$63,"Pending")</f>
        <v>0</v>
      </c>
      <c r="E7" s="68">
        <f>COUNTIF($F$14:$F$63,"N/A")</f>
        <v>0</v>
      </c>
      <c r="F7" s="68">
        <f>COUNTIF($A$14:$A$63,"TC_*")</f>
        <v>29</v>
      </c>
      <c r="G7" s="60"/>
      <c r="H7" s="37"/>
      <c r="I7" s="38" t="s">
        <v>100</v>
      </c>
      <c r="J7" s="4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4"/>
      <c r="AB7" s="14"/>
    </row>
    <row r="8" ht="15.75" customHeight="1">
      <c r="A8" s="94"/>
      <c r="B8" s="95"/>
      <c r="C8" s="95"/>
      <c r="D8" s="95"/>
      <c r="E8" s="95"/>
      <c r="F8" s="95"/>
      <c r="G8" s="97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100"/>
      <c r="AA8" s="100"/>
      <c r="AB8" s="100"/>
    </row>
    <row r="9" ht="15.75" customHeight="1">
      <c r="A9" s="101" t="s">
        <v>115</v>
      </c>
      <c r="B9" s="101" t="s">
        <v>117</v>
      </c>
      <c r="C9" s="101" t="s">
        <v>118</v>
      </c>
      <c r="D9" s="102" t="s">
        <v>123</v>
      </c>
      <c r="E9" s="101" t="s">
        <v>124</v>
      </c>
      <c r="F9" s="101" t="s">
        <v>125</v>
      </c>
      <c r="G9" s="104" t="s">
        <v>127</v>
      </c>
      <c r="H9" s="101" t="s">
        <v>131</v>
      </c>
      <c r="I9" s="101" t="s">
        <v>8</v>
      </c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105"/>
      <c r="AA9" s="105"/>
      <c r="AB9" s="105"/>
    </row>
    <row r="10" ht="15.75" customHeight="1">
      <c r="A10" s="106" t="s">
        <v>137</v>
      </c>
      <c r="B10" s="107"/>
      <c r="C10" s="107"/>
      <c r="D10" s="107"/>
      <c r="E10" s="107"/>
      <c r="F10" s="107"/>
      <c r="G10" s="107"/>
      <c r="H10" s="107"/>
      <c r="I10" s="108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</row>
    <row r="11" ht="15.75" customHeight="1">
      <c r="A11" s="109"/>
      <c r="B11" s="107"/>
      <c r="C11" s="107"/>
      <c r="D11" s="107"/>
      <c r="E11" s="107"/>
      <c r="F11" s="107"/>
      <c r="G11" s="107"/>
      <c r="H11" s="107"/>
      <c r="I11" s="108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</row>
    <row r="12" ht="15.75" customHeight="1">
      <c r="A12" s="110"/>
      <c r="B12" s="111" t="s">
        <v>10</v>
      </c>
      <c r="C12" s="112"/>
      <c r="D12" s="113"/>
      <c r="E12" s="113"/>
      <c r="F12" s="113"/>
      <c r="G12" s="114"/>
      <c r="H12" s="113"/>
      <c r="I12" s="113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95"/>
      <c r="AA12" s="95"/>
      <c r="AB12" s="95"/>
    </row>
    <row r="13" ht="15.75" customHeight="1">
      <c r="A13" s="110"/>
      <c r="B13" s="116" t="s">
        <v>12</v>
      </c>
      <c r="C13" s="117"/>
      <c r="D13" s="117"/>
      <c r="E13" s="117"/>
      <c r="F13" s="117"/>
      <c r="G13" s="118"/>
      <c r="H13" s="117"/>
      <c r="I13" s="117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95"/>
      <c r="AA13" s="95"/>
      <c r="AB13" s="95"/>
    </row>
    <row r="14" ht="111.75" customHeight="1">
      <c r="A14" s="119" t="s">
        <v>165</v>
      </c>
      <c r="B14" s="119" t="s">
        <v>166</v>
      </c>
      <c r="C14" s="119" t="s">
        <v>167</v>
      </c>
      <c r="D14" s="119" t="s">
        <v>168</v>
      </c>
      <c r="E14" s="119"/>
      <c r="F14" s="120" t="s">
        <v>18</v>
      </c>
      <c r="G14" s="121">
        <v>46322.0</v>
      </c>
      <c r="H14" s="119" t="s">
        <v>181</v>
      </c>
      <c r="I14" s="122" t="s">
        <v>183</v>
      </c>
      <c r="J14" s="122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95"/>
      <c r="AA14" s="95"/>
      <c r="AB14" s="95"/>
    </row>
    <row r="15" ht="46.5" customHeight="1">
      <c r="A15" s="119" t="s">
        <v>186</v>
      </c>
      <c r="B15" s="119" t="s">
        <v>187</v>
      </c>
      <c r="C15" s="119" t="s">
        <v>188</v>
      </c>
      <c r="D15" s="119" t="s">
        <v>189</v>
      </c>
      <c r="E15" s="119" t="s">
        <v>165</v>
      </c>
      <c r="F15" s="120" t="s">
        <v>18</v>
      </c>
      <c r="G15" s="121">
        <v>46322.0</v>
      </c>
      <c r="H15" s="119" t="s">
        <v>181</v>
      </c>
      <c r="I15" s="122" t="s">
        <v>183</v>
      </c>
      <c r="J15" s="122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95"/>
      <c r="AA15" s="95"/>
      <c r="AB15" s="95"/>
    </row>
    <row r="16" ht="15.75" customHeight="1">
      <c r="A16" s="110"/>
      <c r="B16" s="116" t="s">
        <v>19</v>
      </c>
      <c r="C16" s="117"/>
      <c r="D16" s="117"/>
      <c r="E16" s="117"/>
      <c r="F16" s="117"/>
      <c r="G16" s="118"/>
      <c r="H16" s="117"/>
      <c r="I16" s="117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95"/>
      <c r="AA16" s="95"/>
      <c r="AB16" s="95"/>
    </row>
    <row r="17" ht="93.75" customHeight="1">
      <c r="A17" s="119" t="s">
        <v>197</v>
      </c>
      <c r="B17" s="119" t="s">
        <v>198</v>
      </c>
      <c r="C17" s="119" t="s">
        <v>199</v>
      </c>
      <c r="D17" s="119" t="s">
        <v>200</v>
      </c>
      <c r="E17" s="119" t="s">
        <v>186</v>
      </c>
      <c r="F17" s="120" t="s">
        <v>18</v>
      </c>
      <c r="G17" s="121">
        <v>46322.0</v>
      </c>
      <c r="H17" s="119" t="s">
        <v>201</v>
      </c>
      <c r="I17" s="122" t="s">
        <v>183</v>
      </c>
      <c r="J17" s="122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95"/>
      <c r="AA17" s="95"/>
      <c r="AB17" s="95"/>
    </row>
    <row r="18" ht="93.75" customHeight="1">
      <c r="A18" s="119" t="s">
        <v>202</v>
      </c>
      <c r="B18" s="119" t="s">
        <v>203</v>
      </c>
      <c r="C18" s="119" t="s">
        <v>204</v>
      </c>
      <c r="D18" s="119" t="s">
        <v>205</v>
      </c>
      <c r="E18" s="119" t="s">
        <v>186</v>
      </c>
      <c r="F18" s="120" t="s">
        <v>18</v>
      </c>
      <c r="G18" s="121">
        <v>46322.0</v>
      </c>
      <c r="H18" s="119" t="s">
        <v>206</v>
      </c>
      <c r="I18" s="122" t="s">
        <v>183</v>
      </c>
      <c r="J18" s="122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95"/>
      <c r="AA18" s="95"/>
      <c r="AB18" s="95"/>
    </row>
    <row r="19" ht="15.75" customHeight="1">
      <c r="A19" s="110"/>
      <c r="B19" s="116" t="s">
        <v>26</v>
      </c>
      <c r="C19" s="117"/>
      <c r="D19" s="117"/>
      <c r="E19" s="117"/>
      <c r="F19" s="117"/>
      <c r="G19" s="118"/>
      <c r="H19" s="117"/>
      <c r="I19" s="117"/>
      <c r="J19" s="11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 ht="73.5" customHeight="1">
      <c r="A20" s="119" t="s">
        <v>207</v>
      </c>
      <c r="B20" s="119" t="s">
        <v>208</v>
      </c>
      <c r="C20" s="119" t="s">
        <v>209</v>
      </c>
      <c r="D20" s="119" t="s">
        <v>210</v>
      </c>
      <c r="E20" s="119" t="s">
        <v>186</v>
      </c>
      <c r="F20" s="120" t="s">
        <v>18</v>
      </c>
      <c r="G20" s="121">
        <v>46322.0</v>
      </c>
      <c r="H20" s="119" t="s">
        <v>206</v>
      </c>
      <c r="I20" s="122" t="s">
        <v>183</v>
      </c>
      <c r="J20" s="122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95"/>
      <c r="AA20" s="95"/>
      <c r="AB20" s="95"/>
    </row>
    <row r="21" ht="15.75" customHeight="1">
      <c r="A21" s="110"/>
      <c r="B21" s="111" t="s">
        <v>33</v>
      </c>
      <c r="C21" s="112"/>
      <c r="D21" s="113"/>
      <c r="E21" s="113"/>
      <c r="F21" s="113"/>
      <c r="G21" s="114"/>
      <c r="H21" s="113"/>
      <c r="I21" s="113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95"/>
      <c r="AA21" s="95"/>
      <c r="AB21" s="95"/>
    </row>
    <row r="22" ht="15.75" customHeight="1">
      <c r="A22" s="110"/>
      <c r="B22" s="116" t="s">
        <v>34</v>
      </c>
      <c r="C22" s="117"/>
      <c r="D22" s="117"/>
      <c r="E22" s="117"/>
      <c r="F22" s="117"/>
      <c r="G22" s="118"/>
      <c r="H22" s="117"/>
      <c r="I22" s="117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95"/>
      <c r="AA22" s="95"/>
      <c r="AB22" s="95"/>
    </row>
    <row r="23" ht="133.5" customHeight="1">
      <c r="A23" s="119" t="s">
        <v>211</v>
      </c>
      <c r="B23" s="119" t="s">
        <v>212</v>
      </c>
      <c r="C23" s="119" t="s">
        <v>213</v>
      </c>
      <c r="D23" s="119" t="s">
        <v>214</v>
      </c>
      <c r="E23" s="119" t="s">
        <v>197</v>
      </c>
      <c r="F23" s="120" t="s">
        <v>18</v>
      </c>
      <c r="G23" s="121">
        <v>46322.0</v>
      </c>
      <c r="H23" s="119" t="s">
        <v>181</v>
      </c>
      <c r="I23" s="122" t="s">
        <v>183</v>
      </c>
      <c r="J23" s="122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95"/>
      <c r="AA23" s="95"/>
      <c r="AB23" s="95"/>
    </row>
    <row r="24" ht="100.5" customHeight="1">
      <c r="A24" s="119" t="s">
        <v>215</v>
      </c>
      <c r="B24" s="119" t="s">
        <v>216</v>
      </c>
      <c r="C24" s="119" t="s">
        <v>217</v>
      </c>
      <c r="D24" s="119" t="s">
        <v>218</v>
      </c>
      <c r="E24" s="119" t="s">
        <v>197</v>
      </c>
      <c r="F24" s="120" t="s">
        <v>18</v>
      </c>
      <c r="G24" s="121">
        <v>46322.0</v>
      </c>
      <c r="H24" s="119" t="s">
        <v>181</v>
      </c>
      <c r="I24" s="122" t="s">
        <v>183</v>
      </c>
      <c r="J24" s="122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95"/>
      <c r="AA24" s="95"/>
      <c r="AB24" s="95"/>
    </row>
    <row r="25" ht="87.0" customHeight="1">
      <c r="A25" s="119" t="s">
        <v>219</v>
      </c>
      <c r="B25" s="119" t="s">
        <v>220</v>
      </c>
      <c r="C25" s="119" t="s">
        <v>221</v>
      </c>
      <c r="D25" s="119" t="s">
        <v>222</v>
      </c>
      <c r="E25" s="119" t="s">
        <v>197</v>
      </c>
      <c r="F25" s="120" t="s">
        <v>18</v>
      </c>
      <c r="G25" s="121">
        <v>46322.0</v>
      </c>
      <c r="H25" s="119" t="s">
        <v>201</v>
      </c>
      <c r="I25" s="122" t="s">
        <v>183</v>
      </c>
      <c r="J25" s="122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95"/>
      <c r="AA25" s="95"/>
      <c r="AB25" s="95"/>
    </row>
    <row r="26" ht="15.75" customHeight="1">
      <c r="A26" s="110"/>
      <c r="B26" s="116" t="s">
        <v>39</v>
      </c>
      <c r="C26" s="117"/>
      <c r="D26" s="117"/>
      <c r="E26" s="117"/>
      <c r="F26" s="117"/>
      <c r="G26" s="118"/>
      <c r="H26" s="117"/>
      <c r="I26" s="117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95"/>
      <c r="AA26" s="95"/>
      <c r="AB26" s="95"/>
    </row>
    <row r="27" ht="60.0" customHeight="1">
      <c r="A27" s="119" t="s">
        <v>223</v>
      </c>
      <c r="B27" s="119" t="s">
        <v>224</v>
      </c>
      <c r="C27" s="119" t="s">
        <v>225</v>
      </c>
      <c r="D27" s="119" t="s">
        <v>226</v>
      </c>
      <c r="E27" s="119" t="s">
        <v>215</v>
      </c>
      <c r="F27" s="120" t="s">
        <v>18</v>
      </c>
      <c r="G27" s="121">
        <v>46322.0</v>
      </c>
      <c r="H27" s="119" t="s">
        <v>181</v>
      </c>
      <c r="I27" s="122" t="s">
        <v>183</v>
      </c>
      <c r="J27" s="122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95"/>
      <c r="AA27" s="95"/>
      <c r="AB27" s="95"/>
    </row>
    <row r="28" ht="46.5" customHeight="1">
      <c r="A28" s="119" t="s">
        <v>227</v>
      </c>
      <c r="B28" s="119" t="s">
        <v>228</v>
      </c>
      <c r="C28" s="119" t="s">
        <v>229</v>
      </c>
      <c r="D28" s="119" t="s">
        <v>230</v>
      </c>
      <c r="E28" s="119" t="s">
        <v>219</v>
      </c>
      <c r="F28" s="120" t="s">
        <v>18</v>
      </c>
      <c r="G28" s="121">
        <v>46322.0</v>
      </c>
      <c r="H28" s="119" t="s">
        <v>181</v>
      </c>
      <c r="I28" s="122" t="s">
        <v>231</v>
      </c>
      <c r="J28" s="122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95"/>
      <c r="AA28" s="95"/>
      <c r="AB28" s="95"/>
    </row>
    <row r="29" ht="15.75" customHeight="1">
      <c r="A29" s="110"/>
      <c r="B29" s="111" t="s">
        <v>44</v>
      </c>
      <c r="C29" s="112"/>
      <c r="D29" s="113"/>
      <c r="E29" s="113"/>
      <c r="F29" s="113"/>
      <c r="G29" s="114"/>
      <c r="H29" s="113"/>
      <c r="I29" s="113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95"/>
      <c r="AA29" s="95"/>
      <c r="AB29" s="95"/>
    </row>
    <row r="30" ht="15.75" customHeight="1">
      <c r="A30" s="110"/>
      <c r="B30" s="116" t="s">
        <v>45</v>
      </c>
      <c r="C30" s="117"/>
      <c r="D30" s="117"/>
      <c r="E30" s="117"/>
      <c r="F30" s="117"/>
      <c r="G30" s="118"/>
      <c r="H30" s="117"/>
      <c r="I30" s="117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95"/>
      <c r="AA30" s="95"/>
      <c r="AB30" s="95"/>
    </row>
    <row r="31" ht="75.0" customHeight="1">
      <c r="A31" s="119" t="s">
        <v>232</v>
      </c>
      <c r="B31" s="119" t="s">
        <v>233</v>
      </c>
      <c r="C31" s="119" t="s">
        <v>234</v>
      </c>
      <c r="D31" s="119" t="s">
        <v>235</v>
      </c>
      <c r="E31" s="119" t="s">
        <v>186</v>
      </c>
      <c r="F31" s="120" t="s">
        <v>18</v>
      </c>
      <c r="G31" s="121">
        <v>46322.0</v>
      </c>
      <c r="H31" s="119" t="s">
        <v>201</v>
      </c>
      <c r="I31" s="122" t="s">
        <v>183</v>
      </c>
      <c r="J31" s="122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95"/>
      <c r="AA31" s="95"/>
      <c r="AB31" s="95"/>
    </row>
    <row r="32" ht="15.75" customHeight="1">
      <c r="A32" s="110"/>
      <c r="B32" s="116" t="s">
        <v>48</v>
      </c>
      <c r="C32" s="117"/>
      <c r="D32" s="117"/>
      <c r="E32" s="117"/>
      <c r="F32" s="117"/>
      <c r="G32" s="118"/>
      <c r="H32" s="117"/>
      <c r="I32" s="117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95"/>
      <c r="AA32" s="95"/>
      <c r="AB32" s="95"/>
    </row>
    <row r="33" ht="60.0" customHeight="1">
      <c r="A33" s="119" t="s">
        <v>236</v>
      </c>
      <c r="B33" s="119" t="s">
        <v>237</v>
      </c>
      <c r="C33" s="119" t="s">
        <v>238</v>
      </c>
      <c r="D33" s="119" t="s">
        <v>239</v>
      </c>
      <c r="E33" s="119" t="s">
        <v>186</v>
      </c>
      <c r="F33" s="120" t="s">
        <v>18</v>
      </c>
      <c r="G33" s="121">
        <v>46322.0</v>
      </c>
      <c r="H33" s="119" t="s">
        <v>181</v>
      </c>
      <c r="I33" s="122" t="s">
        <v>231</v>
      </c>
      <c r="J33" s="122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95"/>
      <c r="AA33" s="95"/>
      <c r="AB33" s="95"/>
    </row>
    <row r="34" ht="73.5" customHeight="1">
      <c r="A34" s="119" t="s">
        <v>240</v>
      </c>
      <c r="B34" s="119" t="s">
        <v>241</v>
      </c>
      <c r="C34" s="119" t="s">
        <v>242</v>
      </c>
      <c r="D34" s="119" t="s">
        <v>243</v>
      </c>
      <c r="E34" s="119" t="s">
        <v>215</v>
      </c>
      <c r="F34" s="120" t="s">
        <v>18</v>
      </c>
      <c r="G34" s="121">
        <v>46322.0</v>
      </c>
      <c r="H34" s="119" t="s">
        <v>201</v>
      </c>
      <c r="I34" s="122" t="s">
        <v>231</v>
      </c>
      <c r="J34" s="122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95"/>
      <c r="AA34" s="95"/>
      <c r="AB34" s="95"/>
    </row>
    <row r="35" ht="15.75" customHeight="1">
      <c r="A35" s="110"/>
      <c r="B35" s="111" t="s">
        <v>51</v>
      </c>
      <c r="C35" s="112"/>
      <c r="D35" s="113"/>
      <c r="E35" s="113"/>
      <c r="F35" s="113"/>
      <c r="G35" s="114"/>
      <c r="H35" s="113"/>
      <c r="I35" s="113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95"/>
      <c r="AA35" s="95"/>
      <c r="AB35" s="95"/>
    </row>
    <row r="36" ht="15.75" customHeight="1">
      <c r="A36" s="110"/>
      <c r="B36" s="116" t="s">
        <v>52</v>
      </c>
      <c r="C36" s="117"/>
      <c r="D36" s="117"/>
      <c r="E36" s="117"/>
      <c r="F36" s="117"/>
      <c r="G36" s="118"/>
      <c r="H36" s="117"/>
      <c r="I36" s="117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95"/>
      <c r="AA36" s="95"/>
      <c r="AB36" s="95"/>
    </row>
    <row r="37" ht="60.0" customHeight="1">
      <c r="A37" s="119" t="s">
        <v>244</v>
      </c>
      <c r="B37" s="119" t="s">
        <v>245</v>
      </c>
      <c r="C37" s="119" t="s">
        <v>246</v>
      </c>
      <c r="D37" s="119" t="s">
        <v>247</v>
      </c>
      <c r="E37" s="119" t="s">
        <v>186</v>
      </c>
      <c r="F37" s="120" t="s">
        <v>18</v>
      </c>
      <c r="G37" s="121">
        <v>46322.0</v>
      </c>
      <c r="H37" s="119" t="s">
        <v>181</v>
      </c>
      <c r="I37" s="122" t="s">
        <v>231</v>
      </c>
      <c r="J37" s="122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95"/>
      <c r="AA37" s="95"/>
      <c r="AB37" s="95"/>
    </row>
    <row r="38" ht="87.75" customHeight="1">
      <c r="A38" s="119" t="s">
        <v>248</v>
      </c>
      <c r="B38" s="119" t="s">
        <v>249</v>
      </c>
      <c r="C38" s="119" t="s">
        <v>250</v>
      </c>
      <c r="D38" s="119" t="s">
        <v>251</v>
      </c>
      <c r="E38" s="119" t="s">
        <v>186</v>
      </c>
      <c r="F38" s="120" t="s">
        <v>18</v>
      </c>
      <c r="G38" s="121">
        <v>46322.0</v>
      </c>
      <c r="H38" s="119" t="s">
        <v>181</v>
      </c>
      <c r="I38" s="122" t="s">
        <v>231</v>
      </c>
      <c r="J38" s="122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95"/>
      <c r="AA38" s="95"/>
      <c r="AB38" s="95"/>
    </row>
    <row r="39" ht="15.75" customHeight="1">
      <c r="A39" s="110"/>
      <c r="B39" s="111" t="s">
        <v>56</v>
      </c>
      <c r="C39" s="112"/>
      <c r="D39" s="113"/>
      <c r="E39" s="113"/>
      <c r="F39" s="113"/>
      <c r="G39" s="114"/>
      <c r="H39" s="113"/>
      <c r="I39" s="113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95"/>
      <c r="AA39" s="95"/>
      <c r="AB39" s="95"/>
    </row>
    <row r="40" ht="15.75" customHeight="1">
      <c r="A40" s="110"/>
      <c r="B40" s="116" t="s">
        <v>57</v>
      </c>
      <c r="C40" s="117"/>
      <c r="D40" s="117"/>
      <c r="E40" s="117"/>
      <c r="F40" s="117"/>
      <c r="G40" s="118"/>
      <c r="H40" s="117"/>
      <c r="I40" s="117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95"/>
      <c r="AA40" s="95"/>
      <c r="AB40" s="95"/>
    </row>
    <row r="41" ht="66.75" customHeight="1">
      <c r="A41" s="119" t="s">
        <v>252</v>
      </c>
      <c r="B41" s="119" t="s">
        <v>253</v>
      </c>
      <c r="C41" s="119" t="s">
        <v>254</v>
      </c>
      <c r="D41" s="119" t="s">
        <v>255</v>
      </c>
      <c r="E41" s="119" t="s">
        <v>186</v>
      </c>
      <c r="F41" s="120" t="s">
        <v>18</v>
      </c>
      <c r="G41" s="121">
        <v>46322.0</v>
      </c>
      <c r="H41" s="119" t="s">
        <v>181</v>
      </c>
      <c r="I41" s="122" t="s">
        <v>231</v>
      </c>
      <c r="J41" s="122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95"/>
      <c r="AA41" s="95"/>
      <c r="AB41" s="95"/>
    </row>
    <row r="42" ht="66.75" customHeight="1">
      <c r="A42" s="119" t="s">
        <v>256</v>
      </c>
      <c r="B42" s="119" t="s">
        <v>257</v>
      </c>
      <c r="C42" s="119" t="s">
        <v>258</v>
      </c>
      <c r="D42" s="119" t="s">
        <v>259</v>
      </c>
      <c r="E42" s="119" t="s">
        <v>186</v>
      </c>
      <c r="F42" s="120" t="s">
        <v>18</v>
      </c>
      <c r="G42" s="121">
        <v>46322.0</v>
      </c>
      <c r="H42" s="119" t="s">
        <v>201</v>
      </c>
      <c r="I42" s="122" t="s">
        <v>260</v>
      </c>
      <c r="J42" s="122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95"/>
      <c r="AA42" s="95"/>
      <c r="AB42" s="95"/>
    </row>
    <row r="43" ht="15.75" customHeight="1">
      <c r="A43" s="110"/>
      <c r="B43" s="116" t="s">
        <v>63</v>
      </c>
      <c r="C43" s="117"/>
      <c r="D43" s="117"/>
      <c r="E43" s="117"/>
      <c r="F43" s="117"/>
      <c r="G43" s="118"/>
      <c r="H43" s="117"/>
      <c r="I43" s="117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95"/>
      <c r="AA43" s="95"/>
      <c r="AB43" s="95"/>
    </row>
    <row r="44" ht="46.5" customHeight="1">
      <c r="A44" s="119" t="s">
        <v>261</v>
      </c>
      <c r="B44" s="119" t="s">
        <v>262</v>
      </c>
      <c r="C44" s="119" t="s">
        <v>263</v>
      </c>
      <c r="D44" s="119" t="s">
        <v>264</v>
      </c>
      <c r="E44" s="119" t="s">
        <v>186</v>
      </c>
      <c r="F44" s="120" t="s">
        <v>18</v>
      </c>
      <c r="G44" s="121">
        <v>46322.0</v>
      </c>
      <c r="H44" s="119" t="s">
        <v>181</v>
      </c>
      <c r="I44" s="122" t="s">
        <v>260</v>
      </c>
      <c r="J44" s="122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95"/>
      <c r="AA44" s="95"/>
      <c r="AB44" s="95"/>
    </row>
    <row r="45" ht="60.0" customHeight="1">
      <c r="A45" s="119" t="s">
        <v>265</v>
      </c>
      <c r="B45" s="119" t="s">
        <v>266</v>
      </c>
      <c r="C45" s="119" t="s">
        <v>267</v>
      </c>
      <c r="D45" s="119" t="s">
        <v>268</v>
      </c>
      <c r="E45" s="119" t="s">
        <v>186</v>
      </c>
      <c r="F45" s="120" t="s">
        <v>18</v>
      </c>
      <c r="G45" s="121">
        <v>46322.0</v>
      </c>
      <c r="H45" s="119" t="s">
        <v>201</v>
      </c>
      <c r="I45" s="122" t="s">
        <v>260</v>
      </c>
      <c r="J45" s="122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95"/>
      <c r="AA45" s="95"/>
      <c r="AB45" s="95"/>
    </row>
    <row r="46" ht="106.5" customHeight="1">
      <c r="A46" s="119" t="s">
        <v>269</v>
      </c>
      <c r="B46" s="119" t="s">
        <v>270</v>
      </c>
      <c r="C46" s="119" t="s">
        <v>271</v>
      </c>
      <c r="D46" s="119" t="s">
        <v>272</v>
      </c>
      <c r="E46" s="119" t="s">
        <v>186</v>
      </c>
      <c r="F46" s="120" t="s">
        <v>18</v>
      </c>
      <c r="G46" s="121">
        <v>46322.0</v>
      </c>
      <c r="H46" s="119" t="s">
        <v>201</v>
      </c>
      <c r="I46" s="122" t="s">
        <v>260</v>
      </c>
      <c r="J46" s="122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95"/>
      <c r="AA46" s="95"/>
      <c r="AB46" s="95"/>
    </row>
    <row r="47" ht="93.75" customHeight="1">
      <c r="A47" s="119" t="s">
        <v>273</v>
      </c>
      <c r="B47" s="119" t="s">
        <v>274</v>
      </c>
      <c r="C47" s="119" t="s">
        <v>275</v>
      </c>
      <c r="D47" s="119" t="s">
        <v>276</v>
      </c>
      <c r="E47" s="119" t="s">
        <v>186</v>
      </c>
      <c r="F47" s="120" t="s">
        <v>18</v>
      </c>
      <c r="G47" s="121">
        <v>46322.0</v>
      </c>
      <c r="H47" s="119" t="s">
        <v>201</v>
      </c>
      <c r="I47" s="122" t="s">
        <v>260</v>
      </c>
      <c r="J47" s="122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95"/>
      <c r="AA47" s="95"/>
      <c r="AB47" s="95"/>
    </row>
    <row r="48" ht="15.75" customHeight="1">
      <c r="A48" s="110"/>
      <c r="B48" s="116" t="s">
        <v>65</v>
      </c>
      <c r="C48" s="117"/>
      <c r="D48" s="117"/>
      <c r="E48" s="117"/>
      <c r="F48" s="117"/>
      <c r="G48" s="118"/>
      <c r="H48" s="117"/>
      <c r="I48" s="117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95"/>
      <c r="AA48" s="95"/>
      <c r="AB48" s="95"/>
    </row>
    <row r="49" ht="84.0" customHeight="1">
      <c r="A49" s="119" t="s">
        <v>277</v>
      </c>
      <c r="B49" s="119" t="s">
        <v>278</v>
      </c>
      <c r="C49" s="119" t="s">
        <v>279</v>
      </c>
      <c r="D49" s="119" t="s">
        <v>280</v>
      </c>
      <c r="E49" s="119" t="s">
        <v>186</v>
      </c>
      <c r="F49" s="120" t="s">
        <v>18</v>
      </c>
      <c r="G49" s="121">
        <v>46322.0</v>
      </c>
      <c r="H49" s="119" t="s">
        <v>201</v>
      </c>
      <c r="I49" s="122" t="s">
        <v>231</v>
      </c>
      <c r="J49" s="122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95"/>
      <c r="AA49" s="95"/>
      <c r="AB49" s="95"/>
    </row>
    <row r="50" ht="15.75" customHeight="1">
      <c r="A50" s="110"/>
      <c r="B50" s="111" t="s">
        <v>68</v>
      </c>
      <c r="C50" s="112"/>
      <c r="D50" s="113"/>
      <c r="E50" s="113"/>
      <c r="F50" s="113"/>
      <c r="G50" s="114"/>
      <c r="H50" s="113"/>
      <c r="I50" s="113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95"/>
      <c r="AA50" s="95"/>
      <c r="AB50" s="95"/>
    </row>
    <row r="51" ht="15.75" customHeight="1">
      <c r="A51" s="110"/>
      <c r="B51" s="116" t="s">
        <v>69</v>
      </c>
      <c r="C51" s="117"/>
      <c r="D51" s="117"/>
      <c r="E51" s="117"/>
      <c r="F51" s="117"/>
      <c r="G51" s="118"/>
      <c r="H51" s="117"/>
      <c r="I51" s="117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95"/>
      <c r="AA51" s="95"/>
      <c r="AB51" s="95"/>
    </row>
    <row r="52" ht="60.0" customHeight="1">
      <c r="A52" s="119" t="s">
        <v>281</v>
      </c>
      <c r="B52" s="119" t="s">
        <v>282</v>
      </c>
      <c r="C52" s="119" t="s">
        <v>283</v>
      </c>
      <c r="D52" s="119" t="s">
        <v>284</v>
      </c>
      <c r="E52" s="119" t="s">
        <v>186</v>
      </c>
      <c r="F52" s="120" t="s">
        <v>18</v>
      </c>
      <c r="G52" s="121">
        <v>46322.0</v>
      </c>
      <c r="H52" s="119" t="s">
        <v>181</v>
      </c>
      <c r="I52" s="122" t="s">
        <v>260</v>
      </c>
      <c r="J52" s="122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95"/>
      <c r="AA52" s="95"/>
      <c r="AB52" s="95"/>
    </row>
    <row r="53" ht="73.5" customHeight="1">
      <c r="A53" s="119" t="s">
        <v>285</v>
      </c>
      <c r="B53" s="119" t="s">
        <v>286</v>
      </c>
      <c r="C53" s="119" t="s">
        <v>287</v>
      </c>
      <c r="D53" s="119" t="s">
        <v>288</v>
      </c>
      <c r="E53" s="119" t="s">
        <v>186</v>
      </c>
      <c r="F53" s="120" t="s">
        <v>18</v>
      </c>
      <c r="G53" s="121">
        <v>46322.0</v>
      </c>
      <c r="H53" s="119" t="s">
        <v>201</v>
      </c>
      <c r="I53" s="122" t="s">
        <v>260</v>
      </c>
      <c r="J53" s="122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95"/>
      <c r="AA53" s="95"/>
      <c r="AB53" s="95"/>
    </row>
    <row r="54" ht="60.0" customHeight="1">
      <c r="A54" s="119" t="s">
        <v>289</v>
      </c>
      <c r="B54" s="119" t="s">
        <v>290</v>
      </c>
      <c r="C54" s="119" t="s">
        <v>291</v>
      </c>
      <c r="D54" s="119" t="s">
        <v>292</v>
      </c>
      <c r="E54" s="119" t="s">
        <v>186</v>
      </c>
      <c r="F54" s="120" t="s">
        <v>18</v>
      </c>
      <c r="G54" s="121">
        <v>46322.0</v>
      </c>
      <c r="H54" s="119" t="s">
        <v>201</v>
      </c>
      <c r="I54" s="122" t="s">
        <v>260</v>
      </c>
      <c r="J54" s="122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95"/>
      <c r="AA54" s="95"/>
      <c r="AB54" s="95"/>
    </row>
    <row r="55" ht="15.75" customHeight="1">
      <c r="A55" s="110"/>
      <c r="B55" s="116" t="s">
        <v>71</v>
      </c>
      <c r="C55" s="117"/>
      <c r="D55" s="117"/>
      <c r="E55" s="117"/>
      <c r="F55" s="117"/>
      <c r="G55" s="118"/>
      <c r="H55" s="117"/>
      <c r="I55" s="117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95"/>
      <c r="AA55" s="95"/>
      <c r="AB55" s="95"/>
    </row>
    <row r="56" ht="82.5" customHeight="1">
      <c r="A56" s="119" t="s">
        <v>293</v>
      </c>
      <c r="B56" s="119" t="s">
        <v>294</v>
      </c>
      <c r="C56" s="119" t="s">
        <v>295</v>
      </c>
      <c r="D56" s="119" t="s">
        <v>296</v>
      </c>
      <c r="E56" s="119" t="s">
        <v>186</v>
      </c>
      <c r="F56" s="120" t="s">
        <v>18</v>
      </c>
      <c r="G56" s="121">
        <v>46322.0</v>
      </c>
      <c r="H56" s="119" t="s">
        <v>181</v>
      </c>
      <c r="I56" s="122" t="s">
        <v>231</v>
      </c>
      <c r="J56" s="122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95"/>
      <c r="AA56" s="95"/>
      <c r="AB56" s="95"/>
    </row>
    <row r="57" ht="15.75" customHeight="1">
      <c r="A57" s="110"/>
      <c r="B57" s="116" t="s">
        <v>74</v>
      </c>
      <c r="C57" s="117"/>
      <c r="D57" s="117"/>
      <c r="E57" s="117"/>
      <c r="F57" s="117"/>
      <c r="G57" s="118"/>
      <c r="H57" s="117"/>
      <c r="I57" s="117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95"/>
      <c r="AA57" s="95"/>
      <c r="AB57" s="95"/>
    </row>
    <row r="58" ht="46.5" customHeight="1">
      <c r="A58" s="119" t="s">
        <v>297</v>
      </c>
      <c r="B58" s="119" t="s">
        <v>298</v>
      </c>
      <c r="C58" s="119" t="s">
        <v>299</v>
      </c>
      <c r="D58" s="119" t="s">
        <v>300</v>
      </c>
      <c r="E58" s="119" t="s">
        <v>186</v>
      </c>
      <c r="F58" s="120" t="s">
        <v>18</v>
      </c>
      <c r="G58" s="121">
        <v>46322.0</v>
      </c>
      <c r="H58" s="119" t="s">
        <v>181</v>
      </c>
      <c r="I58" s="122" t="s">
        <v>231</v>
      </c>
      <c r="J58" s="122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95"/>
      <c r="AA58" s="95"/>
      <c r="AB58" s="95"/>
    </row>
    <row r="59" ht="15.75" customHeight="1">
      <c r="A59" s="110"/>
      <c r="B59" s="116" t="s">
        <v>76</v>
      </c>
      <c r="C59" s="117"/>
      <c r="D59" s="117"/>
      <c r="E59" s="117"/>
      <c r="F59" s="117"/>
      <c r="G59" s="118"/>
      <c r="H59" s="117"/>
      <c r="I59" s="117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95"/>
      <c r="AA59" s="95"/>
      <c r="AB59" s="95"/>
    </row>
    <row r="60" ht="60.0" customHeight="1">
      <c r="A60" s="119" t="s">
        <v>301</v>
      </c>
      <c r="B60" s="119" t="s">
        <v>302</v>
      </c>
      <c r="C60" s="119" t="s">
        <v>303</v>
      </c>
      <c r="D60" s="119" t="s">
        <v>304</v>
      </c>
      <c r="E60" s="119" t="s">
        <v>186</v>
      </c>
      <c r="F60" s="120" t="s">
        <v>18</v>
      </c>
      <c r="G60" s="121">
        <v>46322.0</v>
      </c>
      <c r="H60" s="119" t="s">
        <v>201</v>
      </c>
      <c r="I60" s="122" t="s">
        <v>183</v>
      </c>
      <c r="J60" s="122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95"/>
      <c r="AA60" s="95"/>
      <c r="AB60" s="95"/>
    </row>
    <row r="61" ht="15.75" customHeight="1">
      <c r="A61" s="110"/>
      <c r="B61" s="111" t="s">
        <v>79</v>
      </c>
      <c r="C61" s="112"/>
      <c r="D61" s="113"/>
      <c r="E61" s="113"/>
      <c r="F61" s="113"/>
      <c r="G61" s="114"/>
      <c r="H61" s="113"/>
      <c r="I61" s="113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95"/>
      <c r="AA61" s="95"/>
      <c r="AB61" s="95"/>
    </row>
    <row r="62" ht="15.75" customHeight="1">
      <c r="A62" s="110"/>
      <c r="B62" s="116" t="s">
        <v>80</v>
      </c>
      <c r="C62" s="117"/>
      <c r="D62" s="117"/>
      <c r="E62" s="117"/>
      <c r="F62" s="117"/>
      <c r="G62" s="118"/>
      <c r="H62" s="117"/>
      <c r="I62" s="117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95"/>
      <c r="AA62" s="95"/>
      <c r="AB62" s="95"/>
    </row>
    <row r="63" ht="86.25" customHeight="1">
      <c r="A63" s="119" t="s">
        <v>305</v>
      </c>
      <c r="B63" s="119" t="s">
        <v>306</v>
      </c>
      <c r="C63" s="119" t="s">
        <v>307</v>
      </c>
      <c r="D63" s="119" t="s">
        <v>308</v>
      </c>
      <c r="E63" s="119" t="s">
        <v>223</v>
      </c>
      <c r="F63" s="120" t="s">
        <v>18</v>
      </c>
      <c r="G63" s="121">
        <v>46322.0</v>
      </c>
      <c r="H63" s="119" t="s">
        <v>181</v>
      </c>
      <c r="I63" s="122" t="s">
        <v>231</v>
      </c>
      <c r="J63" s="122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95"/>
      <c r="AA63" s="95"/>
      <c r="AB63" s="95"/>
    </row>
    <row r="64" ht="15.75" customHeight="1">
      <c r="A64" s="115"/>
      <c r="B64" s="115"/>
      <c r="C64" s="115"/>
      <c r="D64" s="115"/>
      <c r="E64" s="115"/>
      <c r="F64" s="115"/>
      <c r="G64" s="123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95"/>
      <c r="AA64" s="95"/>
      <c r="AB64" s="95"/>
    </row>
    <row r="65" ht="15.75" customHeight="1">
      <c r="A65" s="115"/>
      <c r="B65" s="115"/>
      <c r="C65" s="115"/>
      <c r="D65" s="115"/>
      <c r="E65" s="115"/>
      <c r="F65" s="115"/>
      <c r="G65" s="123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95"/>
      <c r="AA65" s="95"/>
      <c r="AB65" s="95"/>
    </row>
    <row r="66" ht="15.75" customHeight="1">
      <c r="A66" s="115"/>
      <c r="B66" s="115"/>
      <c r="C66" s="115"/>
      <c r="D66" s="115"/>
      <c r="E66" s="115"/>
      <c r="F66" s="115"/>
      <c r="G66" s="123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95"/>
      <c r="AA66" s="95"/>
      <c r="AB66" s="95"/>
    </row>
    <row r="67" ht="15.75" customHeight="1">
      <c r="A67" s="115"/>
      <c r="B67" s="115"/>
      <c r="C67" s="115"/>
      <c r="D67" s="115"/>
      <c r="E67" s="115"/>
      <c r="F67" s="115"/>
      <c r="G67" s="123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95"/>
      <c r="AA67" s="95"/>
      <c r="AB67" s="95"/>
    </row>
    <row r="68" ht="15.75" customHeight="1">
      <c r="A68" s="115"/>
      <c r="B68" s="115"/>
      <c r="C68" s="115"/>
      <c r="D68" s="115"/>
      <c r="E68" s="115"/>
      <c r="F68" s="115"/>
      <c r="G68" s="123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95"/>
      <c r="AA68" s="95"/>
      <c r="AB68" s="95"/>
    </row>
    <row r="69" ht="15.75" customHeight="1">
      <c r="A69" s="115"/>
      <c r="B69" s="115"/>
      <c r="C69" s="115"/>
      <c r="D69" s="115"/>
      <c r="E69" s="115"/>
      <c r="F69" s="115"/>
      <c r="G69" s="123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95"/>
      <c r="AA69" s="95"/>
      <c r="AB69" s="95"/>
    </row>
    <row r="70" ht="15.75" customHeight="1">
      <c r="A70" s="115"/>
      <c r="B70" s="115"/>
      <c r="C70" s="115"/>
      <c r="D70" s="115"/>
      <c r="E70" s="115"/>
      <c r="F70" s="115"/>
      <c r="G70" s="123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95"/>
      <c r="AA70" s="95"/>
      <c r="AB70" s="95"/>
    </row>
    <row r="71" ht="15.75" customHeight="1">
      <c r="A71" s="115"/>
      <c r="B71" s="115"/>
      <c r="C71" s="115"/>
      <c r="D71" s="115"/>
      <c r="E71" s="115"/>
      <c r="F71" s="115"/>
      <c r="G71" s="123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95"/>
      <c r="AA71" s="95"/>
      <c r="AB71" s="95"/>
    </row>
    <row r="72" ht="15.75" customHeight="1">
      <c r="A72" s="115"/>
      <c r="B72" s="115"/>
      <c r="C72" s="115"/>
      <c r="D72" s="115"/>
      <c r="E72" s="115"/>
      <c r="F72" s="115"/>
      <c r="G72" s="123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95"/>
      <c r="AA72" s="95"/>
      <c r="AB72" s="95"/>
    </row>
    <row r="73" ht="15.75" customHeight="1">
      <c r="A73" s="115"/>
      <c r="B73" s="115"/>
      <c r="C73" s="115"/>
      <c r="D73" s="115"/>
      <c r="E73" s="115"/>
      <c r="F73" s="115"/>
      <c r="G73" s="123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95"/>
      <c r="AA73" s="95"/>
      <c r="AB73" s="95"/>
    </row>
    <row r="74" ht="15.75" customHeight="1">
      <c r="A74" s="115"/>
      <c r="B74" s="115"/>
      <c r="C74" s="115"/>
      <c r="D74" s="115"/>
      <c r="E74" s="115"/>
      <c r="F74" s="115"/>
      <c r="G74" s="123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95"/>
      <c r="AA74" s="95"/>
      <c r="AB74" s="95"/>
    </row>
    <row r="75" ht="15.75" customHeight="1">
      <c r="A75" s="115"/>
      <c r="B75" s="115"/>
      <c r="C75" s="115"/>
      <c r="D75" s="115"/>
      <c r="E75" s="115"/>
      <c r="F75" s="115"/>
      <c r="G75" s="123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95"/>
      <c r="AA75" s="95"/>
      <c r="AB75" s="95"/>
    </row>
    <row r="76" ht="15.75" customHeight="1">
      <c r="A76" s="115"/>
      <c r="B76" s="115"/>
      <c r="C76" s="115"/>
      <c r="D76" s="115"/>
      <c r="E76" s="115"/>
      <c r="F76" s="115"/>
      <c r="G76" s="123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95"/>
      <c r="AA76" s="95"/>
      <c r="AB76" s="95"/>
    </row>
    <row r="77" ht="15.75" customHeight="1">
      <c r="A77" s="115"/>
      <c r="B77" s="115"/>
      <c r="C77" s="115"/>
      <c r="D77" s="115"/>
      <c r="E77" s="115"/>
      <c r="F77" s="115"/>
      <c r="G77" s="123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95"/>
      <c r="AA77" s="95"/>
      <c r="AB77" s="95"/>
    </row>
    <row r="78" ht="15.75" customHeight="1">
      <c r="A78" s="115"/>
      <c r="B78" s="115"/>
      <c r="C78" s="115"/>
      <c r="D78" s="115"/>
      <c r="E78" s="115"/>
      <c r="F78" s="115"/>
      <c r="G78" s="123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95"/>
      <c r="AA78" s="95"/>
      <c r="AB78" s="95"/>
    </row>
    <row r="79" ht="15.75" customHeight="1">
      <c r="A79" s="115"/>
      <c r="B79" s="115"/>
      <c r="C79" s="115"/>
      <c r="D79" s="115"/>
      <c r="E79" s="115"/>
      <c r="F79" s="115"/>
      <c r="G79" s="123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95"/>
      <c r="AA79" s="95"/>
      <c r="AB79" s="95"/>
    </row>
    <row r="80" ht="15.75" customHeight="1">
      <c r="A80" s="115"/>
      <c r="B80" s="115"/>
      <c r="C80" s="115"/>
      <c r="D80" s="115"/>
      <c r="E80" s="115"/>
      <c r="F80" s="115"/>
      <c r="G80" s="123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95"/>
      <c r="AA80" s="95"/>
      <c r="AB80" s="95"/>
    </row>
    <row r="81" ht="15.75" customHeight="1">
      <c r="A81" s="115"/>
      <c r="B81" s="115"/>
      <c r="C81" s="115"/>
      <c r="D81" s="115"/>
      <c r="E81" s="115"/>
      <c r="F81" s="115"/>
      <c r="G81" s="123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95"/>
      <c r="AA81" s="95"/>
      <c r="AB81" s="95"/>
    </row>
    <row r="82" ht="15.75" customHeight="1">
      <c r="A82" s="115"/>
      <c r="B82" s="115"/>
      <c r="C82" s="115"/>
      <c r="D82" s="115"/>
      <c r="E82" s="115"/>
      <c r="F82" s="115"/>
      <c r="G82" s="123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95"/>
      <c r="AA82" s="95"/>
      <c r="AB82" s="95"/>
    </row>
    <row r="83" ht="15.75" customHeight="1">
      <c r="A83" s="115"/>
      <c r="B83" s="115"/>
      <c r="C83" s="115"/>
      <c r="D83" s="115"/>
      <c r="E83" s="115"/>
      <c r="F83" s="115"/>
      <c r="G83" s="123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95"/>
      <c r="AA83" s="95"/>
      <c r="AB83" s="95"/>
    </row>
    <row r="84" ht="15.75" customHeight="1">
      <c r="A84" s="115"/>
      <c r="B84" s="115"/>
      <c r="C84" s="115"/>
      <c r="D84" s="115"/>
      <c r="E84" s="115"/>
      <c r="F84" s="115"/>
      <c r="G84" s="123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95"/>
      <c r="AA84" s="95"/>
      <c r="AB84" s="95"/>
    </row>
    <row r="85" ht="15.75" customHeight="1">
      <c r="A85" s="115"/>
      <c r="B85" s="115"/>
      <c r="C85" s="115"/>
      <c r="D85" s="115"/>
      <c r="E85" s="115"/>
      <c r="F85" s="115"/>
      <c r="G85" s="123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95"/>
      <c r="AA85" s="95"/>
      <c r="AB85" s="95"/>
    </row>
    <row r="86" ht="15.75" customHeight="1">
      <c r="A86" s="115"/>
      <c r="B86" s="115"/>
      <c r="C86" s="115"/>
      <c r="D86" s="115"/>
      <c r="E86" s="115"/>
      <c r="F86" s="115"/>
      <c r="G86" s="123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95"/>
      <c r="AA86" s="95"/>
      <c r="AB86" s="95"/>
    </row>
    <row r="87" ht="15.75" customHeight="1">
      <c r="A87" s="115"/>
      <c r="B87" s="115"/>
      <c r="C87" s="115"/>
      <c r="D87" s="115"/>
      <c r="E87" s="115"/>
      <c r="F87" s="115"/>
      <c r="G87" s="123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95"/>
      <c r="AA87" s="95"/>
      <c r="AB87" s="95"/>
    </row>
    <row r="88" ht="15.75" customHeight="1">
      <c r="A88" s="115"/>
      <c r="B88" s="115"/>
      <c r="C88" s="115"/>
      <c r="D88" s="115"/>
      <c r="E88" s="115"/>
      <c r="F88" s="115"/>
      <c r="G88" s="123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95"/>
      <c r="AA88" s="95"/>
      <c r="AB88" s="95"/>
    </row>
    <row r="89" ht="15.75" customHeight="1">
      <c r="A89" s="115"/>
      <c r="B89" s="115"/>
      <c r="C89" s="115"/>
      <c r="D89" s="115"/>
      <c r="E89" s="115"/>
      <c r="F89" s="115"/>
      <c r="G89" s="123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95"/>
      <c r="AA89" s="95"/>
      <c r="AB89" s="95"/>
    </row>
    <row r="90" ht="15.75" customHeight="1">
      <c r="A90" s="115"/>
      <c r="B90" s="115"/>
      <c r="C90" s="115"/>
      <c r="D90" s="115"/>
      <c r="E90" s="115"/>
      <c r="F90" s="115"/>
      <c r="G90" s="123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95"/>
      <c r="AA90" s="95"/>
      <c r="AB90" s="95"/>
    </row>
    <row r="91" ht="15.75" customHeight="1">
      <c r="A91" s="115"/>
      <c r="B91" s="115"/>
      <c r="C91" s="115"/>
      <c r="D91" s="115"/>
      <c r="E91" s="115"/>
      <c r="F91" s="115"/>
      <c r="G91" s="123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95"/>
      <c r="AA91" s="95"/>
      <c r="AB91" s="95"/>
    </row>
    <row r="92" ht="15.75" customHeight="1">
      <c r="A92" s="115"/>
      <c r="B92" s="115"/>
      <c r="C92" s="115"/>
      <c r="D92" s="115"/>
      <c r="E92" s="115"/>
      <c r="F92" s="115"/>
      <c r="G92" s="123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95"/>
      <c r="AA92" s="95"/>
      <c r="AB92" s="95"/>
    </row>
    <row r="93" ht="15.75" customHeight="1">
      <c r="A93" s="115"/>
      <c r="B93" s="115"/>
      <c r="C93" s="115"/>
      <c r="D93" s="115"/>
      <c r="E93" s="115"/>
      <c r="F93" s="115"/>
      <c r="G93" s="123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95"/>
      <c r="AA93" s="95"/>
      <c r="AB93" s="95"/>
    </row>
    <row r="94" ht="15.75" customHeight="1">
      <c r="A94" s="115"/>
      <c r="B94" s="115"/>
      <c r="C94" s="115"/>
      <c r="D94" s="115"/>
      <c r="E94" s="115"/>
      <c r="F94" s="115"/>
      <c r="G94" s="123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95"/>
      <c r="AA94" s="95"/>
      <c r="AB94" s="95"/>
    </row>
    <row r="95" ht="15.75" customHeight="1">
      <c r="A95" s="115"/>
      <c r="B95" s="115"/>
      <c r="C95" s="115"/>
      <c r="D95" s="115"/>
      <c r="E95" s="115"/>
      <c r="F95" s="115"/>
      <c r="G95" s="123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95"/>
      <c r="AA95" s="95"/>
      <c r="AB95" s="95"/>
    </row>
    <row r="96" ht="15.75" customHeight="1">
      <c r="A96" s="115"/>
      <c r="B96" s="115"/>
      <c r="C96" s="115"/>
      <c r="D96" s="115"/>
      <c r="E96" s="115"/>
      <c r="F96" s="115"/>
      <c r="G96" s="123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95"/>
      <c r="AA96" s="95"/>
      <c r="AB96" s="95"/>
    </row>
    <row r="97" ht="15.75" customHeight="1">
      <c r="A97" s="115"/>
      <c r="B97" s="115"/>
      <c r="C97" s="115"/>
      <c r="D97" s="115"/>
      <c r="E97" s="115"/>
      <c r="F97" s="115"/>
      <c r="G97" s="123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95"/>
      <c r="AA97" s="95"/>
      <c r="AB97" s="95"/>
    </row>
    <row r="98" ht="15.75" customHeight="1">
      <c r="A98" s="115"/>
      <c r="B98" s="115"/>
      <c r="C98" s="115"/>
      <c r="D98" s="115"/>
      <c r="E98" s="115"/>
      <c r="F98" s="115"/>
      <c r="G98" s="123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95"/>
      <c r="AA98" s="95"/>
      <c r="AB98" s="95"/>
    </row>
    <row r="99" ht="15.75" customHeight="1">
      <c r="A99" s="115"/>
      <c r="B99" s="115"/>
      <c r="C99" s="115"/>
      <c r="D99" s="115"/>
      <c r="E99" s="115"/>
      <c r="F99" s="115"/>
      <c r="G99" s="123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95"/>
      <c r="AA99" s="95"/>
      <c r="AB99" s="95"/>
    </row>
    <row r="100" ht="15.75" customHeight="1">
      <c r="A100" s="115"/>
      <c r="B100" s="115"/>
      <c r="C100" s="115"/>
      <c r="D100" s="115"/>
      <c r="E100" s="115"/>
      <c r="F100" s="115"/>
      <c r="G100" s="123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95"/>
      <c r="AA100" s="95"/>
      <c r="AB100" s="95"/>
    </row>
    <row r="101" ht="15.75" customHeight="1">
      <c r="A101" s="115"/>
      <c r="B101" s="115"/>
      <c r="C101" s="115"/>
      <c r="D101" s="115"/>
      <c r="E101" s="115"/>
      <c r="F101" s="115"/>
      <c r="G101" s="123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95"/>
      <c r="AA101" s="95"/>
      <c r="AB101" s="95"/>
    </row>
    <row r="102" ht="15.75" customHeight="1">
      <c r="A102" s="115"/>
      <c r="B102" s="115"/>
      <c r="C102" s="115"/>
      <c r="D102" s="115"/>
      <c r="E102" s="115"/>
      <c r="F102" s="115"/>
      <c r="G102" s="123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95"/>
      <c r="AA102" s="95"/>
      <c r="AB102" s="95"/>
    </row>
    <row r="103" ht="15.75" customHeight="1">
      <c r="A103" s="115"/>
      <c r="B103" s="115"/>
      <c r="C103" s="115"/>
      <c r="D103" s="115"/>
      <c r="E103" s="115"/>
      <c r="F103" s="115"/>
      <c r="G103" s="123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95"/>
      <c r="AA103" s="95"/>
      <c r="AB103" s="95"/>
    </row>
    <row r="104" ht="15.75" customHeight="1">
      <c r="A104" s="115"/>
      <c r="B104" s="115"/>
      <c r="C104" s="115"/>
      <c r="D104" s="115"/>
      <c r="E104" s="115"/>
      <c r="F104" s="115"/>
      <c r="G104" s="123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95"/>
      <c r="AA104" s="95"/>
      <c r="AB104" s="95"/>
    </row>
    <row r="105" ht="15.75" customHeight="1">
      <c r="A105" s="115"/>
      <c r="B105" s="115"/>
      <c r="C105" s="115"/>
      <c r="D105" s="115"/>
      <c r="E105" s="115"/>
      <c r="F105" s="115"/>
      <c r="G105" s="123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95"/>
      <c r="AA105" s="95"/>
      <c r="AB105" s="95"/>
    </row>
    <row r="106" ht="15.75" customHeight="1">
      <c r="A106" s="115"/>
      <c r="B106" s="115"/>
      <c r="C106" s="115"/>
      <c r="D106" s="115"/>
      <c r="E106" s="115"/>
      <c r="F106" s="115"/>
      <c r="G106" s="123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95"/>
      <c r="AA106" s="95"/>
      <c r="AB106" s="95"/>
    </row>
    <row r="107" ht="15.75" customHeight="1">
      <c r="A107" s="115"/>
      <c r="B107" s="115"/>
      <c r="C107" s="115"/>
      <c r="D107" s="115"/>
      <c r="E107" s="115"/>
      <c r="F107" s="115"/>
      <c r="G107" s="123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95"/>
      <c r="AA107" s="95"/>
      <c r="AB107" s="95"/>
    </row>
    <row r="108" ht="15.75" customHeight="1">
      <c r="A108" s="115"/>
      <c r="B108" s="115"/>
      <c r="C108" s="115"/>
      <c r="D108" s="115"/>
      <c r="E108" s="115"/>
      <c r="F108" s="115"/>
      <c r="G108" s="123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95"/>
      <c r="AA108" s="95"/>
      <c r="AB108" s="95"/>
    </row>
    <row r="109" ht="15.75" customHeight="1">
      <c r="A109" s="115"/>
      <c r="B109" s="115"/>
      <c r="C109" s="115"/>
      <c r="D109" s="115"/>
      <c r="E109" s="115"/>
      <c r="F109" s="115"/>
      <c r="G109" s="123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95"/>
      <c r="AA109" s="95"/>
      <c r="AB109" s="95"/>
    </row>
    <row r="110" ht="15.75" customHeight="1">
      <c r="A110" s="115"/>
      <c r="B110" s="115"/>
      <c r="C110" s="115"/>
      <c r="D110" s="115"/>
      <c r="E110" s="115"/>
      <c r="F110" s="115"/>
      <c r="G110" s="123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95"/>
      <c r="AA110" s="95"/>
      <c r="AB110" s="95"/>
    </row>
    <row r="111" ht="15.75" customHeight="1">
      <c r="A111" s="115"/>
      <c r="B111" s="115"/>
      <c r="C111" s="115"/>
      <c r="D111" s="115"/>
      <c r="E111" s="115"/>
      <c r="F111" s="115"/>
      <c r="G111" s="123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95"/>
      <c r="AA111" s="95"/>
      <c r="AB111" s="95"/>
    </row>
    <row r="112" ht="15.75" customHeight="1">
      <c r="A112" s="115"/>
      <c r="B112" s="115"/>
      <c r="C112" s="115"/>
      <c r="D112" s="115"/>
      <c r="E112" s="115"/>
      <c r="F112" s="115"/>
      <c r="G112" s="123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95"/>
      <c r="AA112" s="95"/>
      <c r="AB112" s="95"/>
    </row>
    <row r="113" ht="15.75" customHeight="1">
      <c r="A113" s="115"/>
      <c r="B113" s="115"/>
      <c r="C113" s="115"/>
      <c r="D113" s="115"/>
      <c r="E113" s="115"/>
      <c r="F113" s="115"/>
      <c r="G113" s="123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95"/>
      <c r="AA113" s="95"/>
      <c r="AB113" s="95"/>
    </row>
    <row r="114" ht="15.75" customHeight="1">
      <c r="A114" s="115"/>
      <c r="B114" s="115"/>
      <c r="C114" s="115"/>
      <c r="D114" s="115"/>
      <c r="E114" s="115"/>
      <c r="F114" s="115"/>
      <c r="G114" s="123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95"/>
      <c r="AA114" s="95"/>
      <c r="AB114" s="95"/>
    </row>
    <row r="115" ht="15.75" customHeight="1">
      <c r="A115" s="115"/>
      <c r="B115" s="115"/>
      <c r="C115" s="115"/>
      <c r="D115" s="115"/>
      <c r="E115" s="115"/>
      <c r="F115" s="115"/>
      <c r="G115" s="123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95"/>
      <c r="AA115" s="95"/>
      <c r="AB115" s="95"/>
    </row>
    <row r="116" ht="15.75" customHeight="1">
      <c r="A116" s="115"/>
      <c r="B116" s="115"/>
      <c r="C116" s="115"/>
      <c r="D116" s="115"/>
      <c r="E116" s="115"/>
      <c r="F116" s="115"/>
      <c r="G116" s="123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95"/>
      <c r="AA116" s="95"/>
      <c r="AB116" s="95"/>
    </row>
    <row r="117" ht="15.75" customHeight="1">
      <c r="A117" s="115"/>
      <c r="B117" s="115"/>
      <c r="C117" s="115"/>
      <c r="D117" s="115"/>
      <c r="E117" s="115"/>
      <c r="F117" s="115"/>
      <c r="G117" s="123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95"/>
      <c r="AA117" s="95"/>
      <c r="AB117" s="95"/>
    </row>
    <row r="118" ht="15.75" customHeight="1">
      <c r="A118" s="115"/>
      <c r="B118" s="115"/>
      <c r="C118" s="115"/>
      <c r="D118" s="115"/>
      <c r="E118" s="115"/>
      <c r="F118" s="115"/>
      <c r="G118" s="123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95"/>
      <c r="AA118" s="95"/>
      <c r="AB118" s="95"/>
    </row>
    <row r="119" ht="15.75" customHeight="1">
      <c r="A119" s="115"/>
      <c r="B119" s="115"/>
      <c r="C119" s="115"/>
      <c r="D119" s="115"/>
      <c r="E119" s="115"/>
      <c r="F119" s="115"/>
      <c r="G119" s="123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95"/>
      <c r="AA119" s="95"/>
      <c r="AB119" s="95"/>
    </row>
    <row r="120" ht="15.75" customHeight="1">
      <c r="A120" s="115"/>
      <c r="B120" s="115"/>
      <c r="C120" s="115"/>
      <c r="D120" s="115"/>
      <c r="E120" s="115"/>
      <c r="F120" s="115"/>
      <c r="G120" s="123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95"/>
      <c r="AA120" s="95"/>
      <c r="AB120" s="95"/>
    </row>
    <row r="121" ht="15.75" customHeight="1">
      <c r="A121" s="115"/>
      <c r="B121" s="115"/>
      <c r="C121" s="115"/>
      <c r="D121" s="115"/>
      <c r="E121" s="115"/>
      <c r="F121" s="115"/>
      <c r="G121" s="123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95"/>
      <c r="AA121" s="95"/>
      <c r="AB121" s="95"/>
    </row>
    <row r="122" ht="15.75" customHeight="1">
      <c r="A122" s="115"/>
      <c r="B122" s="115"/>
      <c r="C122" s="115"/>
      <c r="D122" s="115"/>
      <c r="E122" s="115"/>
      <c r="F122" s="115"/>
      <c r="G122" s="123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95"/>
      <c r="AA122" s="95"/>
      <c r="AB122" s="95"/>
    </row>
    <row r="123" ht="15.75" customHeight="1">
      <c r="A123" s="115"/>
      <c r="B123" s="115"/>
      <c r="C123" s="115"/>
      <c r="D123" s="115"/>
      <c r="E123" s="115"/>
      <c r="F123" s="115"/>
      <c r="G123" s="123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95"/>
      <c r="AA123" s="95"/>
      <c r="AB123" s="95"/>
    </row>
    <row r="124" ht="15.75" customHeight="1">
      <c r="A124" s="115"/>
      <c r="B124" s="115"/>
      <c r="C124" s="115"/>
      <c r="D124" s="115"/>
      <c r="E124" s="115"/>
      <c r="F124" s="115"/>
      <c r="G124" s="123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95"/>
      <c r="AA124" s="95"/>
      <c r="AB124" s="95"/>
    </row>
    <row r="125" ht="15.75" customHeight="1">
      <c r="A125" s="115"/>
      <c r="B125" s="115"/>
      <c r="C125" s="115"/>
      <c r="D125" s="115"/>
      <c r="E125" s="115"/>
      <c r="F125" s="115"/>
      <c r="G125" s="123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95"/>
      <c r="AA125" s="95"/>
      <c r="AB125" s="95"/>
    </row>
    <row r="126" ht="15.75" customHeight="1">
      <c r="A126" s="115"/>
      <c r="B126" s="115"/>
      <c r="C126" s="115"/>
      <c r="D126" s="115"/>
      <c r="E126" s="115"/>
      <c r="F126" s="115"/>
      <c r="G126" s="123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95"/>
      <c r="AA126" s="95"/>
      <c r="AB126" s="95"/>
    </row>
    <row r="127" ht="15.75" customHeight="1">
      <c r="A127" s="115"/>
      <c r="B127" s="115"/>
      <c r="C127" s="115"/>
      <c r="D127" s="115"/>
      <c r="E127" s="115"/>
      <c r="F127" s="115"/>
      <c r="G127" s="123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95"/>
      <c r="AA127" s="95"/>
      <c r="AB127" s="95"/>
    </row>
    <row r="128" ht="15.75" customHeight="1">
      <c r="A128" s="115"/>
      <c r="B128" s="115"/>
      <c r="C128" s="115"/>
      <c r="D128" s="115"/>
      <c r="E128" s="115"/>
      <c r="F128" s="115"/>
      <c r="G128" s="123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95"/>
      <c r="AA128" s="95"/>
      <c r="AB128" s="95"/>
    </row>
    <row r="129" ht="15.75" customHeight="1">
      <c r="A129" s="115"/>
      <c r="B129" s="115"/>
      <c r="C129" s="115"/>
      <c r="D129" s="115"/>
      <c r="E129" s="115"/>
      <c r="F129" s="115"/>
      <c r="G129" s="123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95"/>
      <c r="AA129" s="95"/>
      <c r="AB129" s="95"/>
    </row>
    <row r="130" ht="15.75" customHeight="1">
      <c r="A130" s="115"/>
      <c r="B130" s="115"/>
      <c r="C130" s="115"/>
      <c r="D130" s="115"/>
      <c r="E130" s="115"/>
      <c r="F130" s="115"/>
      <c r="G130" s="123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95"/>
      <c r="AA130" s="95"/>
      <c r="AB130" s="95"/>
    </row>
    <row r="131" ht="15.75" customHeight="1">
      <c r="A131" s="115"/>
      <c r="B131" s="115"/>
      <c r="C131" s="115"/>
      <c r="D131" s="115"/>
      <c r="E131" s="115"/>
      <c r="F131" s="115"/>
      <c r="G131" s="123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95"/>
      <c r="AA131" s="95"/>
      <c r="AB131" s="95"/>
    </row>
    <row r="132" ht="15.75" customHeight="1">
      <c r="A132" s="115"/>
      <c r="B132" s="115"/>
      <c r="C132" s="115"/>
      <c r="D132" s="115"/>
      <c r="E132" s="115"/>
      <c r="F132" s="115"/>
      <c r="G132" s="123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95"/>
      <c r="AA132" s="95"/>
      <c r="AB132" s="95"/>
    </row>
    <row r="133" ht="15.75" customHeight="1">
      <c r="A133" s="115"/>
      <c r="B133" s="115"/>
      <c r="C133" s="115"/>
      <c r="D133" s="115"/>
      <c r="E133" s="115"/>
      <c r="F133" s="115"/>
      <c r="G133" s="123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95"/>
      <c r="AA133" s="95"/>
      <c r="AB133" s="95"/>
    </row>
    <row r="134" ht="15.75" customHeight="1">
      <c r="A134" s="115"/>
      <c r="B134" s="115"/>
      <c r="C134" s="115"/>
      <c r="D134" s="115"/>
      <c r="E134" s="115"/>
      <c r="F134" s="115"/>
      <c r="G134" s="123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95"/>
      <c r="AA134" s="95"/>
      <c r="AB134" s="95"/>
    </row>
    <row r="135" ht="15.75" customHeight="1">
      <c r="A135" s="115"/>
      <c r="B135" s="115"/>
      <c r="C135" s="115"/>
      <c r="D135" s="115"/>
      <c r="E135" s="115"/>
      <c r="F135" s="115"/>
      <c r="G135" s="123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95"/>
      <c r="AA135" s="95"/>
      <c r="AB135" s="95"/>
    </row>
    <row r="136" ht="15.75" customHeight="1">
      <c r="A136" s="115"/>
      <c r="B136" s="115"/>
      <c r="C136" s="115"/>
      <c r="D136" s="115"/>
      <c r="E136" s="115"/>
      <c r="F136" s="115"/>
      <c r="G136" s="123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95"/>
      <c r="AA136" s="95"/>
      <c r="AB136" s="95"/>
    </row>
    <row r="137" ht="15.75" customHeight="1">
      <c r="A137" s="115"/>
      <c r="B137" s="115"/>
      <c r="C137" s="115"/>
      <c r="D137" s="115"/>
      <c r="E137" s="115"/>
      <c r="F137" s="115"/>
      <c r="G137" s="123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95"/>
      <c r="AA137" s="95"/>
      <c r="AB137" s="95"/>
    </row>
    <row r="138" ht="15.75" customHeight="1">
      <c r="A138" s="115"/>
      <c r="B138" s="115"/>
      <c r="C138" s="115"/>
      <c r="D138" s="115"/>
      <c r="E138" s="115"/>
      <c r="F138" s="115"/>
      <c r="G138" s="123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95"/>
      <c r="AA138" s="95"/>
      <c r="AB138" s="95"/>
    </row>
    <row r="139" ht="15.75" customHeight="1">
      <c r="A139" s="115"/>
      <c r="B139" s="115"/>
      <c r="C139" s="115"/>
      <c r="D139" s="115"/>
      <c r="E139" s="115"/>
      <c r="F139" s="115"/>
      <c r="G139" s="123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95"/>
      <c r="AA139" s="95"/>
      <c r="AB139" s="95"/>
    </row>
    <row r="140" ht="15.75" customHeight="1">
      <c r="A140" s="115"/>
      <c r="B140" s="115"/>
      <c r="C140" s="115"/>
      <c r="D140" s="115"/>
      <c r="E140" s="115"/>
      <c r="F140" s="115"/>
      <c r="G140" s="123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95"/>
      <c r="AA140" s="95"/>
      <c r="AB140" s="95"/>
    </row>
    <row r="141" ht="15.75" customHeight="1">
      <c r="A141" s="115"/>
      <c r="B141" s="115"/>
      <c r="C141" s="115"/>
      <c r="D141" s="115"/>
      <c r="E141" s="115"/>
      <c r="F141" s="115"/>
      <c r="G141" s="123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95"/>
      <c r="AA141" s="95"/>
      <c r="AB141" s="95"/>
    </row>
    <row r="142" ht="15.75" customHeight="1">
      <c r="A142" s="115"/>
      <c r="B142" s="115"/>
      <c r="C142" s="115"/>
      <c r="D142" s="115"/>
      <c r="E142" s="115"/>
      <c r="F142" s="115"/>
      <c r="G142" s="123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95"/>
      <c r="AA142" s="95"/>
      <c r="AB142" s="95"/>
    </row>
    <row r="143" ht="15.75" customHeight="1">
      <c r="A143" s="115"/>
      <c r="B143" s="115"/>
      <c r="C143" s="115"/>
      <c r="D143" s="115"/>
      <c r="E143" s="115"/>
      <c r="F143" s="115"/>
      <c r="G143" s="123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95"/>
      <c r="AA143" s="95"/>
      <c r="AB143" s="95"/>
    </row>
    <row r="144" ht="15.75" customHeight="1">
      <c r="A144" s="115"/>
      <c r="B144" s="115"/>
      <c r="C144" s="115"/>
      <c r="D144" s="115"/>
      <c r="E144" s="115"/>
      <c r="F144" s="115"/>
      <c r="G144" s="123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95"/>
      <c r="AA144" s="95"/>
      <c r="AB144" s="95"/>
    </row>
    <row r="145" ht="15.75" customHeight="1">
      <c r="A145" s="115"/>
      <c r="B145" s="115"/>
      <c r="C145" s="115"/>
      <c r="D145" s="115"/>
      <c r="E145" s="115"/>
      <c r="F145" s="115"/>
      <c r="G145" s="123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95"/>
      <c r="AA145" s="95"/>
      <c r="AB145" s="95"/>
    </row>
    <row r="146" ht="15.75" customHeight="1">
      <c r="A146" s="115"/>
      <c r="B146" s="115"/>
      <c r="C146" s="115"/>
      <c r="D146" s="115"/>
      <c r="E146" s="115"/>
      <c r="F146" s="115"/>
      <c r="G146" s="123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95"/>
      <c r="AA146" s="95"/>
      <c r="AB146" s="95"/>
    </row>
    <row r="147" ht="15.75" customHeight="1">
      <c r="A147" s="115"/>
      <c r="B147" s="115"/>
      <c r="C147" s="115"/>
      <c r="D147" s="115"/>
      <c r="E147" s="115"/>
      <c r="F147" s="115"/>
      <c r="G147" s="123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95"/>
      <c r="AA147" s="95"/>
      <c r="AB147" s="95"/>
    </row>
    <row r="148" ht="15.75" customHeight="1">
      <c r="A148" s="115"/>
      <c r="B148" s="115"/>
      <c r="C148" s="115"/>
      <c r="D148" s="115"/>
      <c r="E148" s="115"/>
      <c r="F148" s="115"/>
      <c r="G148" s="123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95"/>
      <c r="AA148" s="95"/>
      <c r="AB148" s="95"/>
    </row>
    <row r="149" ht="15.75" customHeight="1">
      <c r="A149" s="115"/>
      <c r="B149" s="115"/>
      <c r="C149" s="115"/>
      <c r="D149" s="115"/>
      <c r="E149" s="115"/>
      <c r="F149" s="115"/>
      <c r="G149" s="123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95"/>
      <c r="AA149" s="95"/>
      <c r="AB149" s="95"/>
    </row>
    <row r="150" ht="15.75" customHeight="1">
      <c r="A150" s="115"/>
      <c r="B150" s="115"/>
      <c r="C150" s="115"/>
      <c r="D150" s="115"/>
      <c r="E150" s="115"/>
      <c r="F150" s="115"/>
      <c r="G150" s="123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95"/>
      <c r="AA150" s="95"/>
      <c r="AB150" s="95"/>
    </row>
    <row r="151" ht="15.75" customHeight="1">
      <c r="A151" s="115"/>
      <c r="B151" s="115"/>
      <c r="C151" s="115"/>
      <c r="D151" s="115"/>
      <c r="E151" s="115"/>
      <c r="F151" s="115"/>
      <c r="G151" s="123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95"/>
      <c r="AA151" s="95"/>
      <c r="AB151" s="95"/>
    </row>
    <row r="152" ht="15.75" customHeight="1">
      <c r="A152" s="115"/>
      <c r="B152" s="115"/>
      <c r="C152" s="115"/>
      <c r="D152" s="115"/>
      <c r="E152" s="115"/>
      <c r="F152" s="115"/>
      <c r="G152" s="123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95"/>
      <c r="AA152" s="95"/>
      <c r="AB152" s="95"/>
    </row>
    <row r="153" ht="15.75" customHeight="1">
      <c r="A153" s="115"/>
      <c r="B153" s="115"/>
      <c r="C153" s="115"/>
      <c r="D153" s="115"/>
      <c r="E153" s="115"/>
      <c r="F153" s="115"/>
      <c r="G153" s="123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95"/>
      <c r="AA153" s="95"/>
      <c r="AB153" s="95"/>
    </row>
    <row r="154" ht="15.75" customHeight="1">
      <c r="A154" s="115"/>
      <c r="B154" s="115"/>
      <c r="C154" s="115"/>
      <c r="D154" s="115"/>
      <c r="E154" s="115"/>
      <c r="F154" s="115"/>
      <c r="G154" s="123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95"/>
      <c r="AA154" s="95"/>
      <c r="AB154" s="95"/>
    </row>
    <row r="155" ht="15.75" customHeight="1">
      <c r="A155" s="115"/>
      <c r="B155" s="115"/>
      <c r="C155" s="115"/>
      <c r="D155" s="115"/>
      <c r="E155" s="115"/>
      <c r="F155" s="115"/>
      <c r="G155" s="123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95"/>
      <c r="AA155" s="95"/>
      <c r="AB155" s="95"/>
    </row>
    <row r="156" ht="15.75" customHeight="1">
      <c r="A156" s="115"/>
      <c r="B156" s="115"/>
      <c r="C156" s="115"/>
      <c r="D156" s="115"/>
      <c r="E156" s="115"/>
      <c r="F156" s="115"/>
      <c r="G156" s="123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95"/>
      <c r="AA156" s="95"/>
      <c r="AB156" s="95"/>
    </row>
    <row r="157" ht="15.75" customHeight="1">
      <c r="A157" s="115"/>
      <c r="B157" s="115"/>
      <c r="C157" s="115"/>
      <c r="D157" s="115"/>
      <c r="E157" s="115"/>
      <c r="F157" s="115"/>
      <c r="G157" s="123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95"/>
      <c r="AA157" s="95"/>
      <c r="AB157" s="95"/>
    </row>
    <row r="158" ht="15.75" customHeight="1">
      <c r="A158" s="115"/>
      <c r="B158" s="115"/>
      <c r="C158" s="115"/>
      <c r="D158" s="115"/>
      <c r="E158" s="115"/>
      <c r="F158" s="115"/>
      <c r="G158" s="123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95"/>
      <c r="AA158" s="95"/>
      <c r="AB158" s="95"/>
    </row>
    <row r="159" ht="15.75" customHeight="1">
      <c r="A159" s="115"/>
      <c r="B159" s="115"/>
      <c r="C159" s="115"/>
      <c r="D159" s="115"/>
      <c r="E159" s="115"/>
      <c r="F159" s="115"/>
      <c r="G159" s="123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95"/>
      <c r="AA159" s="95"/>
      <c r="AB159" s="95"/>
    </row>
    <row r="160" ht="15.75" customHeight="1">
      <c r="A160" s="115"/>
      <c r="B160" s="115"/>
      <c r="C160" s="115"/>
      <c r="D160" s="115"/>
      <c r="E160" s="115"/>
      <c r="F160" s="115"/>
      <c r="G160" s="123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95"/>
      <c r="AA160" s="95"/>
      <c r="AB160" s="95"/>
    </row>
    <row r="161" ht="15.75" customHeight="1">
      <c r="A161" s="115"/>
      <c r="B161" s="115"/>
      <c r="C161" s="115"/>
      <c r="D161" s="115"/>
      <c r="E161" s="115"/>
      <c r="F161" s="115"/>
      <c r="G161" s="123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95"/>
      <c r="AA161" s="95"/>
      <c r="AB161" s="95"/>
    </row>
    <row r="162" ht="15.75" customHeight="1">
      <c r="A162" s="115"/>
      <c r="B162" s="115"/>
      <c r="C162" s="115"/>
      <c r="D162" s="115"/>
      <c r="E162" s="115"/>
      <c r="F162" s="115"/>
      <c r="G162" s="123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95"/>
      <c r="AA162" s="95"/>
      <c r="AB162" s="95"/>
    </row>
    <row r="163" ht="15.75" customHeight="1">
      <c r="A163" s="115"/>
      <c r="B163" s="115"/>
      <c r="C163" s="115"/>
      <c r="D163" s="115"/>
      <c r="E163" s="115"/>
      <c r="F163" s="115"/>
      <c r="G163" s="123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95"/>
      <c r="AA163" s="95"/>
      <c r="AB163" s="95"/>
    </row>
    <row r="164" ht="15.75" customHeight="1">
      <c r="A164" s="115"/>
      <c r="B164" s="115"/>
      <c r="C164" s="115"/>
      <c r="D164" s="115"/>
      <c r="E164" s="115"/>
      <c r="F164" s="115"/>
      <c r="G164" s="123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95"/>
      <c r="AA164" s="95"/>
      <c r="AB164" s="95"/>
    </row>
    <row r="165" ht="15.75" customHeight="1">
      <c r="A165" s="115"/>
      <c r="B165" s="115"/>
      <c r="C165" s="115"/>
      <c r="D165" s="115"/>
      <c r="E165" s="115"/>
      <c r="F165" s="115"/>
      <c r="G165" s="123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95"/>
      <c r="AA165" s="95"/>
      <c r="AB165" s="95"/>
    </row>
    <row r="166" ht="15.75" customHeight="1">
      <c r="A166" s="115"/>
      <c r="B166" s="115"/>
      <c r="C166" s="115"/>
      <c r="D166" s="115"/>
      <c r="E166" s="115"/>
      <c r="F166" s="115"/>
      <c r="G166" s="123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95"/>
      <c r="AA166" s="95"/>
      <c r="AB166" s="95"/>
    </row>
    <row r="167" ht="15.75" customHeight="1">
      <c r="A167" s="115"/>
      <c r="B167" s="115"/>
      <c r="C167" s="115"/>
      <c r="D167" s="115"/>
      <c r="E167" s="115"/>
      <c r="F167" s="115"/>
      <c r="G167" s="123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95"/>
      <c r="AA167" s="95"/>
      <c r="AB167" s="95"/>
    </row>
    <row r="168" ht="15.75" customHeight="1">
      <c r="A168" s="115"/>
      <c r="B168" s="115"/>
      <c r="C168" s="115"/>
      <c r="D168" s="115"/>
      <c r="E168" s="115"/>
      <c r="F168" s="115"/>
      <c r="G168" s="123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95"/>
      <c r="AA168" s="95"/>
      <c r="AB168" s="95"/>
    </row>
    <row r="169" ht="15.75" customHeight="1">
      <c r="A169" s="115"/>
      <c r="B169" s="115"/>
      <c r="C169" s="115"/>
      <c r="D169" s="115"/>
      <c r="E169" s="115"/>
      <c r="F169" s="115"/>
      <c r="G169" s="123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95"/>
      <c r="AA169" s="95"/>
      <c r="AB169" s="95"/>
    </row>
    <row r="170" ht="15.75" customHeight="1">
      <c r="A170" s="115"/>
      <c r="B170" s="115"/>
      <c r="C170" s="115"/>
      <c r="D170" s="115"/>
      <c r="E170" s="115"/>
      <c r="F170" s="115"/>
      <c r="G170" s="123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95"/>
      <c r="AA170" s="95"/>
      <c r="AB170" s="95"/>
    </row>
    <row r="171" ht="15.75" customHeight="1">
      <c r="A171" s="115"/>
      <c r="B171" s="115"/>
      <c r="C171" s="115"/>
      <c r="D171" s="115"/>
      <c r="E171" s="115"/>
      <c r="F171" s="115"/>
      <c r="G171" s="123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95"/>
      <c r="AA171" s="95"/>
      <c r="AB171" s="95"/>
    </row>
    <row r="172" ht="15.75" customHeight="1">
      <c r="A172" s="115"/>
      <c r="B172" s="115"/>
      <c r="C172" s="115"/>
      <c r="D172" s="115"/>
      <c r="E172" s="115"/>
      <c r="F172" s="115"/>
      <c r="G172" s="123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95"/>
      <c r="AA172" s="95"/>
      <c r="AB172" s="95"/>
    </row>
    <row r="173" ht="15.75" customHeight="1">
      <c r="A173" s="115"/>
      <c r="B173" s="115"/>
      <c r="C173" s="115"/>
      <c r="D173" s="115"/>
      <c r="E173" s="115"/>
      <c r="F173" s="115"/>
      <c r="G173" s="123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95"/>
      <c r="AA173" s="95"/>
      <c r="AB173" s="95"/>
    </row>
    <row r="174" ht="15.75" customHeight="1">
      <c r="A174" s="115"/>
      <c r="B174" s="115"/>
      <c r="C174" s="115"/>
      <c r="D174" s="115"/>
      <c r="E174" s="115"/>
      <c r="F174" s="115"/>
      <c r="G174" s="123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95"/>
      <c r="AA174" s="95"/>
      <c r="AB174" s="95"/>
    </row>
    <row r="175" ht="15.75" customHeight="1">
      <c r="A175" s="115"/>
      <c r="B175" s="115"/>
      <c r="C175" s="115"/>
      <c r="D175" s="115"/>
      <c r="E175" s="115"/>
      <c r="F175" s="115"/>
      <c r="G175" s="123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95"/>
      <c r="AA175" s="95"/>
      <c r="AB175" s="95"/>
    </row>
    <row r="176" ht="15.75" customHeight="1">
      <c r="A176" s="115"/>
      <c r="B176" s="115"/>
      <c r="C176" s="115"/>
      <c r="D176" s="115"/>
      <c r="E176" s="115"/>
      <c r="F176" s="115"/>
      <c r="G176" s="123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95"/>
      <c r="AA176" s="95"/>
      <c r="AB176" s="95"/>
    </row>
    <row r="177" ht="15.75" customHeight="1">
      <c r="A177" s="115"/>
      <c r="B177" s="115"/>
      <c r="C177" s="115"/>
      <c r="D177" s="115"/>
      <c r="E177" s="115"/>
      <c r="F177" s="115"/>
      <c r="G177" s="123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95"/>
      <c r="AA177" s="95"/>
      <c r="AB177" s="95"/>
    </row>
    <row r="178" ht="15.75" customHeight="1">
      <c r="A178" s="115"/>
      <c r="B178" s="115"/>
      <c r="C178" s="115"/>
      <c r="D178" s="115"/>
      <c r="E178" s="115"/>
      <c r="F178" s="115"/>
      <c r="G178" s="123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95"/>
      <c r="AA178" s="95"/>
      <c r="AB178" s="95"/>
    </row>
    <row r="179" ht="15.75" customHeight="1">
      <c r="A179" s="115"/>
      <c r="B179" s="115"/>
      <c r="C179" s="115"/>
      <c r="D179" s="115"/>
      <c r="E179" s="115"/>
      <c r="F179" s="115"/>
      <c r="G179" s="123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95"/>
      <c r="AA179" s="95"/>
      <c r="AB179" s="95"/>
    </row>
    <row r="180" ht="15.75" customHeight="1">
      <c r="A180" s="115"/>
      <c r="B180" s="115"/>
      <c r="C180" s="115"/>
      <c r="D180" s="115"/>
      <c r="E180" s="115"/>
      <c r="F180" s="115"/>
      <c r="G180" s="123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95"/>
      <c r="AA180" s="95"/>
      <c r="AB180" s="95"/>
    </row>
    <row r="181" ht="15.75" customHeight="1">
      <c r="A181" s="115"/>
      <c r="B181" s="115"/>
      <c r="C181" s="115"/>
      <c r="D181" s="115"/>
      <c r="E181" s="115"/>
      <c r="F181" s="115"/>
      <c r="G181" s="123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95"/>
      <c r="AA181" s="95"/>
      <c r="AB181" s="95"/>
    </row>
    <row r="182" ht="15.75" customHeight="1">
      <c r="A182" s="115"/>
      <c r="B182" s="115"/>
      <c r="C182" s="115"/>
      <c r="D182" s="115"/>
      <c r="E182" s="115"/>
      <c r="F182" s="115"/>
      <c r="G182" s="123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95"/>
      <c r="AA182" s="95"/>
      <c r="AB182" s="95"/>
    </row>
    <row r="183" ht="15.75" customHeight="1">
      <c r="A183" s="115"/>
      <c r="B183" s="115"/>
      <c r="C183" s="115"/>
      <c r="D183" s="115"/>
      <c r="E183" s="115"/>
      <c r="F183" s="115"/>
      <c r="G183" s="123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95"/>
      <c r="AA183" s="95"/>
      <c r="AB183" s="95"/>
    </row>
    <row r="184" ht="15.75" customHeight="1">
      <c r="A184" s="115"/>
      <c r="B184" s="115"/>
      <c r="C184" s="115"/>
      <c r="D184" s="115"/>
      <c r="E184" s="115"/>
      <c r="F184" s="115"/>
      <c r="G184" s="123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95"/>
      <c r="AA184" s="95"/>
      <c r="AB184" s="95"/>
    </row>
    <row r="185" ht="15.75" customHeight="1">
      <c r="A185" s="115"/>
      <c r="B185" s="115"/>
      <c r="C185" s="115"/>
      <c r="D185" s="115"/>
      <c r="E185" s="115"/>
      <c r="F185" s="115"/>
      <c r="G185" s="123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95"/>
      <c r="AA185" s="95"/>
      <c r="AB185" s="95"/>
    </row>
    <row r="186" ht="15.75" customHeight="1">
      <c r="A186" s="115"/>
      <c r="B186" s="115"/>
      <c r="C186" s="115"/>
      <c r="D186" s="115"/>
      <c r="E186" s="115"/>
      <c r="F186" s="115"/>
      <c r="G186" s="123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95"/>
      <c r="AA186" s="95"/>
      <c r="AB186" s="95"/>
    </row>
    <row r="187" ht="15.75" customHeight="1">
      <c r="A187" s="115"/>
      <c r="B187" s="115"/>
      <c r="C187" s="115"/>
      <c r="D187" s="115"/>
      <c r="E187" s="115"/>
      <c r="F187" s="115"/>
      <c r="G187" s="123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95"/>
      <c r="AA187" s="95"/>
      <c r="AB187" s="95"/>
    </row>
    <row r="188" ht="15.75" customHeight="1">
      <c r="A188" s="115"/>
      <c r="B188" s="115"/>
      <c r="C188" s="115"/>
      <c r="D188" s="115"/>
      <c r="E188" s="115"/>
      <c r="F188" s="115"/>
      <c r="G188" s="123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95"/>
      <c r="AA188" s="95"/>
      <c r="AB188" s="95"/>
    </row>
    <row r="189" ht="15.75" customHeight="1">
      <c r="A189" s="115"/>
      <c r="B189" s="115"/>
      <c r="C189" s="115"/>
      <c r="D189" s="115"/>
      <c r="E189" s="115"/>
      <c r="F189" s="115"/>
      <c r="G189" s="123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95"/>
      <c r="AA189" s="95"/>
      <c r="AB189" s="95"/>
    </row>
    <row r="190" ht="15.75" customHeight="1">
      <c r="A190" s="115"/>
      <c r="B190" s="115"/>
      <c r="C190" s="115"/>
      <c r="D190" s="115"/>
      <c r="E190" s="115"/>
      <c r="F190" s="115"/>
      <c r="G190" s="123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95"/>
      <c r="AA190" s="95"/>
      <c r="AB190" s="95"/>
    </row>
    <row r="191" ht="15.75" customHeight="1">
      <c r="A191" s="115"/>
      <c r="B191" s="115"/>
      <c r="C191" s="115"/>
      <c r="D191" s="115"/>
      <c r="E191" s="115"/>
      <c r="F191" s="115"/>
      <c r="G191" s="123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95"/>
      <c r="AA191" s="95"/>
      <c r="AB191" s="95"/>
    </row>
    <row r="192" ht="15.75" customHeight="1">
      <c r="A192" s="115"/>
      <c r="B192" s="115"/>
      <c r="C192" s="115"/>
      <c r="D192" s="115"/>
      <c r="E192" s="115"/>
      <c r="F192" s="115"/>
      <c r="G192" s="123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95"/>
      <c r="AA192" s="95"/>
      <c r="AB192" s="95"/>
    </row>
    <row r="193" ht="15.75" customHeight="1">
      <c r="A193" s="115"/>
      <c r="B193" s="115"/>
      <c r="C193" s="115"/>
      <c r="D193" s="115"/>
      <c r="E193" s="115"/>
      <c r="F193" s="115"/>
      <c r="G193" s="123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95"/>
      <c r="AA193" s="95"/>
      <c r="AB193" s="95"/>
    </row>
    <row r="194" ht="15.75" customHeight="1">
      <c r="A194" s="115"/>
      <c r="B194" s="115"/>
      <c r="C194" s="115"/>
      <c r="D194" s="115"/>
      <c r="E194" s="115"/>
      <c r="F194" s="115"/>
      <c r="G194" s="123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95"/>
      <c r="AA194" s="95"/>
      <c r="AB194" s="95"/>
    </row>
    <row r="195" ht="15.75" customHeight="1">
      <c r="A195" s="115"/>
      <c r="B195" s="115"/>
      <c r="C195" s="115"/>
      <c r="D195" s="115"/>
      <c r="E195" s="115"/>
      <c r="F195" s="115"/>
      <c r="G195" s="123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95"/>
      <c r="AA195" s="95"/>
      <c r="AB195" s="95"/>
    </row>
    <row r="196" ht="15.75" customHeight="1">
      <c r="A196" s="115"/>
      <c r="B196" s="115"/>
      <c r="C196" s="115"/>
      <c r="D196" s="115"/>
      <c r="E196" s="115"/>
      <c r="F196" s="115"/>
      <c r="G196" s="123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95"/>
      <c r="AA196" s="95"/>
      <c r="AB196" s="95"/>
    </row>
    <row r="197" ht="15.75" customHeight="1">
      <c r="A197" s="115"/>
      <c r="B197" s="115"/>
      <c r="C197" s="115"/>
      <c r="D197" s="115"/>
      <c r="E197" s="115"/>
      <c r="F197" s="115"/>
      <c r="G197" s="123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95"/>
      <c r="AA197" s="95"/>
      <c r="AB197" s="95"/>
    </row>
    <row r="198" ht="15.75" customHeight="1">
      <c r="A198" s="115"/>
      <c r="B198" s="115"/>
      <c r="C198" s="115"/>
      <c r="D198" s="115"/>
      <c r="E198" s="115"/>
      <c r="F198" s="115"/>
      <c r="G198" s="123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95"/>
      <c r="AA198" s="95"/>
      <c r="AB198" s="95"/>
    </row>
    <row r="199" ht="15.75" customHeight="1">
      <c r="A199" s="115"/>
      <c r="B199" s="115"/>
      <c r="C199" s="115"/>
      <c r="D199" s="115"/>
      <c r="E199" s="115"/>
      <c r="F199" s="115"/>
      <c r="G199" s="123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95"/>
      <c r="AA199" s="95"/>
      <c r="AB199" s="95"/>
    </row>
    <row r="200" ht="15.75" customHeight="1">
      <c r="A200" s="115"/>
      <c r="B200" s="115"/>
      <c r="C200" s="115"/>
      <c r="D200" s="115"/>
      <c r="E200" s="115"/>
      <c r="F200" s="115"/>
      <c r="G200" s="123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95"/>
      <c r="AA200" s="95"/>
      <c r="AB200" s="95"/>
    </row>
    <row r="201" ht="15.75" customHeight="1">
      <c r="A201" s="115"/>
      <c r="B201" s="115"/>
      <c r="C201" s="115"/>
      <c r="D201" s="115"/>
      <c r="E201" s="115"/>
      <c r="F201" s="115"/>
      <c r="G201" s="123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95"/>
      <c r="AA201" s="95"/>
      <c r="AB201" s="95"/>
    </row>
    <row r="202" ht="15.75" customHeight="1">
      <c r="A202" s="115"/>
      <c r="B202" s="115"/>
      <c r="C202" s="115"/>
      <c r="D202" s="115"/>
      <c r="E202" s="115"/>
      <c r="F202" s="115"/>
      <c r="G202" s="123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95"/>
      <c r="AA202" s="95"/>
      <c r="AB202" s="95"/>
    </row>
    <row r="203" ht="15.75" customHeight="1">
      <c r="A203" s="115"/>
      <c r="B203" s="115"/>
      <c r="C203" s="115"/>
      <c r="D203" s="115"/>
      <c r="E203" s="115"/>
      <c r="F203" s="115"/>
      <c r="G203" s="123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95"/>
      <c r="AA203" s="95"/>
      <c r="AB203" s="95"/>
    </row>
    <row r="204" ht="15.75" customHeight="1">
      <c r="A204" s="115"/>
      <c r="B204" s="115"/>
      <c r="C204" s="115"/>
      <c r="D204" s="115"/>
      <c r="E204" s="115"/>
      <c r="F204" s="115"/>
      <c r="G204" s="123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95"/>
      <c r="AA204" s="95"/>
      <c r="AB204" s="95"/>
    </row>
    <row r="205" ht="15.75" customHeight="1">
      <c r="A205" s="115"/>
      <c r="B205" s="115"/>
      <c r="C205" s="115"/>
      <c r="D205" s="115"/>
      <c r="E205" s="115"/>
      <c r="F205" s="115"/>
      <c r="G205" s="123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95"/>
      <c r="AA205" s="95"/>
      <c r="AB205" s="95"/>
    </row>
    <row r="206" ht="15.75" customHeight="1">
      <c r="A206" s="115"/>
      <c r="B206" s="115"/>
      <c r="C206" s="115"/>
      <c r="D206" s="115"/>
      <c r="E206" s="115"/>
      <c r="F206" s="115"/>
      <c r="G206" s="123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95"/>
      <c r="AA206" s="95"/>
      <c r="AB206" s="95"/>
    </row>
    <row r="207" ht="15.75" customHeight="1">
      <c r="A207" s="115"/>
      <c r="B207" s="115"/>
      <c r="C207" s="115"/>
      <c r="D207" s="115"/>
      <c r="E207" s="115"/>
      <c r="F207" s="115"/>
      <c r="G207" s="123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95"/>
      <c r="AA207" s="95"/>
      <c r="AB207" s="95"/>
    </row>
    <row r="208" ht="15.75" customHeight="1">
      <c r="A208" s="115"/>
      <c r="B208" s="115"/>
      <c r="C208" s="115"/>
      <c r="D208" s="115"/>
      <c r="E208" s="115"/>
      <c r="F208" s="115"/>
      <c r="G208" s="123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95"/>
      <c r="AA208" s="95"/>
      <c r="AB208" s="95"/>
    </row>
    <row r="209" ht="15.75" customHeight="1">
      <c r="A209" s="115"/>
      <c r="B209" s="115"/>
      <c r="C209" s="115"/>
      <c r="D209" s="115"/>
      <c r="E209" s="115"/>
      <c r="F209" s="115"/>
      <c r="G209" s="123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95"/>
      <c r="AA209" s="95"/>
      <c r="AB209" s="95"/>
    </row>
    <row r="210" ht="15.75" customHeight="1">
      <c r="A210" s="115"/>
      <c r="B210" s="115"/>
      <c r="C210" s="115"/>
      <c r="D210" s="115"/>
      <c r="E210" s="115"/>
      <c r="F210" s="115"/>
      <c r="G210" s="123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95"/>
      <c r="AA210" s="95"/>
      <c r="AB210" s="95"/>
    </row>
    <row r="211" ht="15.75" customHeight="1">
      <c r="A211" s="115"/>
      <c r="B211" s="115"/>
      <c r="C211" s="115"/>
      <c r="D211" s="115"/>
      <c r="E211" s="115"/>
      <c r="F211" s="115"/>
      <c r="G211" s="123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95"/>
      <c r="AA211" s="95"/>
      <c r="AB211" s="95"/>
    </row>
    <row r="212" ht="15.75" customHeight="1">
      <c r="A212" s="115"/>
      <c r="B212" s="115"/>
      <c r="C212" s="115"/>
      <c r="D212" s="115"/>
      <c r="E212" s="115"/>
      <c r="F212" s="115"/>
      <c r="G212" s="123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95"/>
      <c r="AA212" s="95"/>
      <c r="AB212" s="95"/>
    </row>
    <row r="213" ht="15.75" customHeight="1">
      <c r="A213" s="115"/>
      <c r="B213" s="115"/>
      <c r="C213" s="115"/>
      <c r="D213" s="115"/>
      <c r="E213" s="115"/>
      <c r="F213" s="115"/>
      <c r="G213" s="123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95"/>
      <c r="AA213" s="95"/>
      <c r="AB213" s="95"/>
    </row>
    <row r="214" ht="15.75" customHeight="1">
      <c r="A214" s="115"/>
      <c r="B214" s="115"/>
      <c r="C214" s="115"/>
      <c r="D214" s="115"/>
      <c r="E214" s="115"/>
      <c r="F214" s="115"/>
      <c r="G214" s="123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95"/>
      <c r="AA214" s="95"/>
      <c r="AB214" s="95"/>
    </row>
    <row r="215" ht="15.75" customHeight="1">
      <c r="A215" s="115"/>
      <c r="B215" s="115"/>
      <c r="C215" s="115"/>
      <c r="D215" s="115"/>
      <c r="E215" s="115"/>
      <c r="F215" s="115"/>
      <c r="G215" s="123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95"/>
      <c r="AA215" s="95"/>
      <c r="AB215" s="95"/>
    </row>
    <row r="216" ht="15.75" customHeight="1">
      <c r="A216" s="115"/>
      <c r="B216" s="115"/>
      <c r="C216" s="115"/>
      <c r="D216" s="115"/>
      <c r="E216" s="115"/>
      <c r="F216" s="115"/>
      <c r="G216" s="123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95"/>
      <c r="AA216" s="95"/>
      <c r="AB216" s="95"/>
    </row>
    <row r="217" ht="15.75" customHeight="1">
      <c r="A217" s="115"/>
      <c r="B217" s="115"/>
      <c r="C217" s="115"/>
      <c r="D217" s="115"/>
      <c r="E217" s="115"/>
      <c r="F217" s="115"/>
      <c r="G217" s="123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95"/>
      <c r="AA217" s="95"/>
      <c r="AB217" s="95"/>
    </row>
    <row r="218" ht="15.75" customHeight="1">
      <c r="A218" s="115"/>
      <c r="B218" s="115"/>
      <c r="C218" s="115"/>
      <c r="D218" s="115"/>
      <c r="E218" s="115"/>
      <c r="F218" s="115"/>
      <c r="G218" s="123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95"/>
      <c r="AA218" s="95"/>
      <c r="AB218" s="95"/>
    </row>
    <row r="219" ht="15.75" customHeight="1">
      <c r="A219" s="115"/>
      <c r="B219" s="115"/>
      <c r="C219" s="115"/>
      <c r="D219" s="115"/>
      <c r="E219" s="115"/>
      <c r="F219" s="115"/>
      <c r="G219" s="123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95"/>
      <c r="AA219" s="95"/>
      <c r="AB219" s="95"/>
    </row>
    <row r="220" ht="15.75" customHeight="1">
      <c r="A220" s="115"/>
      <c r="B220" s="115"/>
      <c r="C220" s="115"/>
      <c r="D220" s="115"/>
      <c r="E220" s="115"/>
      <c r="F220" s="115"/>
      <c r="G220" s="123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95"/>
      <c r="AA220" s="95"/>
      <c r="AB220" s="95"/>
    </row>
    <row r="221" ht="15.75" customHeight="1">
      <c r="A221" s="115"/>
      <c r="B221" s="115"/>
      <c r="C221" s="115"/>
      <c r="D221" s="115"/>
      <c r="E221" s="115"/>
      <c r="F221" s="115"/>
      <c r="G221" s="123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95"/>
      <c r="AA221" s="95"/>
      <c r="AB221" s="95"/>
    </row>
    <row r="222" ht="15.75" customHeight="1">
      <c r="A222" s="115"/>
      <c r="B222" s="115"/>
      <c r="C222" s="115"/>
      <c r="D222" s="115"/>
      <c r="E222" s="115"/>
      <c r="F222" s="115"/>
      <c r="G222" s="123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95"/>
      <c r="AA222" s="95"/>
      <c r="AB222" s="95"/>
    </row>
    <row r="223" ht="15.75" customHeight="1">
      <c r="A223" s="115"/>
      <c r="B223" s="115"/>
      <c r="C223" s="115"/>
      <c r="D223" s="115"/>
      <c r="E223" s="115"/>
      <c r="F223" s="115"/>
      <c r="G223" s="123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95"/>
      <c r="AA223" s="95"/>
      <c r="AB223" s="95"/>
    </row>
    <row r="224" ht="15.75" customHeight="1">
      <c r="A224" s="115"/>
      <c r="B224" s="115"/>
      <c r="C224" s="115"/>
      <c r="D224" s="115"/>
      <c r="E224" s="115"/>
      <c r="F224" s="115"/>
      <c r="G224" s="123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95"/>
      <c r="AA224" s="95"/>
      <c r="AB224" s="95"/>
    </row>
    <row r="225" ht="15.75" customHeight="1">
      <c r="A225" s="115"/>
      <c r="B225" s="115"/>
      <c r="C225" s="115"/>
      <c r="D225" s="115"/>
      <c r="E225" s="115"/>
      <c r="F225" s="115"/>
      <c r="G225" s="123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95"/>
      <c r="AA225" s="95"/>
      <c r="AB225" s="95"/>
    </row>
    <row r="226" ht="15.75" customHeight="1">
      <c r="A226" s="115"/>
      <c r="B226" s="115"/>
      <c r="C226" s="115"/>
      <c r="D226" s="115"/>
      <c r="E226" s="115"/>
      <c r="F226" s="115"/>
      <c r="G226" s="123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95"/>
      <c r="AA226" s="95"/>
      <c r="AB226" s="95"/>
    </row>
    <row r="227" ht="15.75" customHeight="1">
      <c r="A227" s="115"/>
      <c r="B227" s="115"/>
      <c r="C227" s="115"/>
      <c r="D227" s="115"/>
      <c r="E227" s="115"/>
      <c r="F227" s="115"/>
      <c r="G227" s="123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95"/>
      <c r="AA227" s="95"/>
      <c r="AB227" s="95"/>
    </row>
    <row r="228" ht="15.75" customHeight="1">
      <c r="A228" s="115"/>
      <c r="B228" s="115"/>
      <c r="C228" s="115"/>
      <c r="D228" s="115"/>
      <c r="E228" s="115"/>
      <c r="F228" s="115"/>
      <c r="G228" s="123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95"/>
      <c r="AA228" s="95"/>
      <c r="AB228" s="95"/>
    </row>
    <row r="229" ht="15.75" customHeight="1">
      <c r="A229" s="115"/>
      <c r="B229" s="115"/>
      <c r="C229" s="115"/>
      <c r="D229" s="115"/>
      <c r="E229" s="115"/>
      <c r="F229" s="115"/>
      <c r="G229" s="123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95"/>
      <c r="AA229" s="95"/>
      <c r="AB229" s="95"/>
    </row>
    <row r="230" ht="15.75" customHeight="1">
      <c r="A230" s="115"/>
      <c r="B230" s="115"/>
      <c r="C230" s="115"/>
      <c r="D230" s="115"/>
      <c r="E230" s="115"/>
      <c r="F230" s="115"/>
      <c r="G230" s="123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95"/>
      <c r="AA230" s="95"/>
      <c r="AB230" s="95"/>
    </row>
    <row r="231" ht="15.75" customHeight="1">
      <c r="A231" s="115"/>
      <c r="B231" s="115"/>
      <c r="C231" s="115"/>
      <c r="D231" s="115"/>
      <c r="E231" s="115"/>
      <c r="F231" s="115"/>
      <c r="G231" s="123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95"/>
      <c r="AA231" s="95"/>
      <c r="AB231" s="95"/>
    </row>
    <row r="232" ht="15.75" customHeight="1">
      <c r="A232" s="115"/>
      <c r="B232" s="115"/>
      <c r="C232" s="115"/>
      <c r="D232" s="115"/>
      <c r="E232" s="115"/>
      <c r="F232" s="115"/>
      <c r="G232" s="123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95"/>
      <c r="AA232" s="95"/>
      <c r="AB232" s="95"/>
    </row>
    <row r="233" ht="15.75" customHeight="1">
      <c r="A233" s="115"/>
      <c r="B233" s="115"/>
      <c r="C233" s="115"/>
      <c r="D233" s="115"/>
      <c r="E233" s="115"/>
      <c r="F233" s="115"/>
      <c r="G233" s="123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95"/>
      <c r="AA233" s="95"/>
      <c r="AB233" s="95"/>
    </row>
    <row r="234" ht="15.75" customHeight="1">
      <c r="A234" s="115"/>
      <c r="B234" s="115"/>
      <c r="C234" s="115"/>
      <c r="D234" s="115"/>
      <c r="E234" s="115"/>
      <c r="F234" s="115"/>
      <c r="G234" s="123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95"/>
      <c r="AA234" s="95"/>
      <c r="AB234" s="95"/>
    </row>
    <row r="235" ht="15.75" customHeight="1">
      <c r="A235" s="115"/>
      <c r="B235" s="115"/>
      <c r="C235" s="115"/>
      <c r="D235" s="115"/>
      <c r="E235" s="115"/>
      <c r="F235" s="115"/>
      <c r="G235" s="123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95"/>
      <c r="AA235" s="95"/>
      <c r="AB235" s="95"/>
    </row>
    <row r="236" ht="15.75" customHeight="1">
      <c r="A236" s="115"/>
      <c r="B236" s="115"/>
      <c r="C236" s="115"/>
      <c r="D236" s="115"/>
      <c r="E236" s="115"/>
      <c r="F236" s="115"/>
      <c r="G236" s="123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95"/>
      <c r="AA236" s="95"/>
      <c r="AB236" s="95"/>
    </row>
    <row r="237" ht="15.75" customHeight="1">
      <c r="A237" s="115"/>
      <c r="B237" s="115"/>
      <c r="C237" s="115"/>
      <c r="D237" s="115"/>
      <c r="E237" s="115"/>
      <c r="F237" s="115"/>
      <c r="G237" s="123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95"/>
      <c r="AA237" s="95"/>
      <c r="AB237" s="95"/>
    </row>
    <row r="238" ht="15.75" customHeight="1">
      <c r="A238" s="115"/>
      <c r="B238" s="115"/>
      <c r="C238" s="115"/>
      <c r="D238" s="115"/>
      <c r="E238" s="115"/>
      <c r="F238" s="115"/>
      <c r="G238" s="123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95"/>
      <c r="AA238" s="95"/>
      <c r="AB238" s="95"/>
    </row>
    <row r="239" ht="15.75" customHeight="1">
      <c r="A239" s="115"/>
      <c r="B239" s="115"/>
      <c r="C239" s="115"/>
      <c r="D239" s="115"/>
      <c r="E239" s="115"/>
      <c r="F239" s="115"/>
      <c r="G239" s="123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95"/>
      <c r="AA239" s="95"/>
      <c r="AB239" s="95"/>
    </row>
    <row r="240" ht="15.75" customHeight="1">
      <c r="A240" s="115"/>
      <c r="B240" s="115"/>
      <c r="C240" s="115"/>
      <c r="D240" s="115"/>
      <c r="E240" s="115"/>
      <c r="F240" s="115"/>
      <c r="G240" s="123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95"/>
      <c r="AA240" s="95"/>
      <c r="AB240" s="95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G2"/>
    <mergeCell ref="B3:G3"/>
    <mergeCell ref="B4:G4"/>
    <mergeCell ref="B5:G5"/>
    <mergeCell ref="A10:I10"/>
    <mergeCell ref="A11:I11"/>
  </mergeCells>
  <conditionalFormatting sqref="F14:F63">
    <cfRule type="cellIs" dxfId="0" priority="1" operator="equal">
      <formula>"Pass"</formula>
    </cfRule>
  </conditionalFormatting>
  <conditionalFormatting sqref="F14:F63">
    <cfRule type="cellIs" dxfId="1" priority="2" operator="equal">
      <formula>"Fail"</formula>
    </cfRule>
  </conditionalFormatting>
  <conditionalFormatting sqref="F14:F63">
    <cfRule type="cellIs" dxfId="2" priority="3" operator="equal">
      <formula>"Pending"</formula>
    </cfRule>
  </conditionalFormatting>
  <dataValidations>
    <dataValidation type="list" allowBlank="1" sqref="F14:F63">
      <formula1>$I$2:$I$7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6.88"/>
    <col customWidth="1" min="3" max="4" width="41.25"/>
    <col customWidth="1" min="5" max="5" width="27.25"/>
    <col customWidth="1" min="6" max="6" width="20.38"/>
    <col customWidth="1" min="7" max="7" width="14.0"/>
    <col customWidth="1" min="8" max="8" width="12.0"/>
    <col customWidth="1" min="9" max="9" width="18.13"/>
  </cols>
  <sheetData>
    <row r="1" ht="15.75" customHeight="1">
      <c r="A1" s="7" t="s">
        <v>1</v>
      </c>
      <c r="B1" s="11"/>
      <c r="C1" s="11"/>
      <c r="D1" s="14"/>
      <c r="E1" s="15"/>
      <c r="F1" s="15"/>
      <c r="G1" s="19"/>
      <c r="H1" s="19"/>
      <c r="I1" s="14"/>
      <c r="J1" s="14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4"/>
      <c r="AB1" s="14"/>
    </row>
    <row r="2" ht="15.75" customHeight="1">
      <c r="A2" s="29" t="s">
        <v>13</v>
      </c>
      <c r="B2" s="32" t="s">
        <v>15</v>
      </c>
      <c r="C2" s="33"/>
      <c r="D2" s="33"/>
      <c r="E2" s="33"/>
      <c r="F2" s="33"/>
      <c r="G2" s="35"/>
      <c r="H2" s="37"/>
      <c r="I2" s="38" t="s">
        <v>18</v>
      </c>
      <c r="J2" s="41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4"/>
      <c r="AB2" s="14"/>
    </row>
    <row r="3" ht="15.75" customHeight="1">
      <c r="A3" s="29" t="s">
        <v>24</v>
      </c>
      <c r="B3" s="32" t="s">
        <v>309</v>
      </c>
      <c r="C3" s="33"/>
      <c r="D3" s="33"/>
      <c r="E3" s="33"/>
      <c r="F3" s="33"/>
      <c r="G3" s="35"/>
      <c r="H3" s="37"/>
      <c r="I3" s="38" t="s">
        <v>30</v>
      </c>
      <c r="J3" s="41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4"/>
      <c r="AB3" s="14"/>
    </row>
    <row r="4" ht="15.75" customHeight="1">
      <c r="A4" s="29" t="s">
        <v>35</v>
      </c>
      <c r="B4" s="45" t="s">
        <v>37</v>
      </c>
      <c r="C4" s="33"/>
      <c r="D4" s="33"/>
      <c r="E4" s="33"/>
      <c r="F4" s="33"/>
      <c r="G4" s="35"/>
      <c r="H4" s="37"/>
      <c r="I4" s="38" t="s">
        <v>41</v>
      </c>
      <c r="J4" s="41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4"/>
      <c r="AB4" s="14"/>
    </row>
    <row r="5" ht="15.75" customHeight="1">
      <c r="A5" s="29" t="s">
        <v>43</v>
      </c>
      <c r="B5" s="32" t="s">
        <v>23</v>
      </c>
      <c r="C5" s="33"/>
      <c r="D5" s="33"/>
      <c r="E5" s="33"/>
      <c r="F5" s="33"/>
      <c r="G5" s="35"/>
      <c r="H5" s="37"/>
      <c r="I5" s="38" t="s">
        <v>47</v>
      </c>
      <c r="J5" s="4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4"/>
      <c r="AB5" s="14"/>
    </row>
    <row r="6" ht="15.75" customHeight="1">
      <c r="A6" s="51" t="s">
        <v>18</v>
      </c>
      <c r="B6" s="53" t="s">
        <v>30</v>
      </c>
      <c r="C6" s="53" t="s">
        <v>47</v>
      </c>
      <c r="D6" s="53" t="s">
        <v>41</v>
      </c>
      <c r="E6" s="57" t="s">
        <v>55</v>
      </c>
      <c r="F6" s="53" t="s">
        <v>59</v>
      </c>
      <c r="G6" s="60"/>
      <c r="H6" s="37"/>
      <c r="I6" s="38" t="s">
        <v>55</v>
      </c>
      <c r="J6" s="4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4"/>
      <c r="AB6" s="14"/>
    </row>
    <row r="7" ht="15.75" customHeight="1">
      <c r="A7" s="68">
        <f>COUNTIF($F$14:$F$65,"Pass")</f>
        <v>27</v>
      </c>
      <c r="B7" s="75">
        <f>COUNTIF($F$14:$F$65,"Fail")</f>
        <v>2</v>
      </c>
      <c r="C7" s="75">
        <f>COUNTIF($F$14:$F$65,"Untested")</f>
        <v>0</v>
      </c>
      <c r="D7" s="75">
        <f>COUNTIF($F$14:$F$65,"Pending")</f>
        <v>0</v>
      </c>
      <c r="E7" s="68">
        <f>COUNTIF($F$14:$F$65,"N/A")</f>
        <v>0</v>
      </c>
      <c r="F7" s="68">
        <f>COUNTIF($A$14:$A$65,"TC_*")</f>
        <v>29</v>
      </c>
      <c r="G7" s="60"/>
      <c r="H7" s="37"/>
      <c r="I7" s="38" t="s">
        <v>100</v>
      </c>
      <c r="J7" s="4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4"/>
      <c r="AB7" s="14"/>
    </row>
    <row r="8" ht="15.75" customHeight="1">
      <c r="A8" s="133"/>
      <c r="B8" s="14"/>
      <c r="C8" s="14"/>
      <c r="D8" s="14"/>
      <c r="E8" s="14"/>
      <c r="F8" s="14"/>
      <c r="G8" s="19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15.75" customHeight="1">
      <c r="A9" s="101" t="s">
        <v>115</v>
      </c>
      <c r="B9" s="101" t="s">
        <v>117</v>
      </c>
      <c r="C9" s="101" t="s">
        <v>118</v>
      </c>
      <c r="D9" s="102" t="s">
        <v>123</v>
      </c>
      <c r="E9" s="101" t="s">
        <v>124</v>
      </c>
      <c r="F9" s="101" t="s">
        <v>125</v>
      </c>
      <c r="G9" s="104" t="s">
        <v>127</v>
      </c>
      <c r="H9" s="101" t="s">
        <v>131</v>
      </c>
      <c r="I9" s="101" t="s">
        <v>8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15.75" customHeight="1">
      <c r="A10" s="106" t="s">
        <v>137</v>
      </c>
      <c r="B10" s="107"/>
      <c r="C10" s="107"/>
      <c r="D10" s="107"/>
      <c r="E10" s="107"/>
      <c r="F10" s="107"/>
      <c r="G10" s="107"/>
      <c r="H10" s="107"/>
      <c r="I10" s="108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15.75" customHeight="1">
      <c r="A11" s="137"/>
      <c r="B11" s="107"/>
      <c r="C11" s="107"/>
      <c r="D11" s="107"/>
      <c r="E11" s="107"/>
      <c r="F11" s="107"/>
      <c r="G11" s="107"/>
      <c r="H11" s="107"/>
      <c r="I11" s="10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5.75" customHeight="1">
      <c r="A12" s="138"/>
      <c r="B12" s="111" t="s">
        <v>96</v>
      </c>
      <c r="C12" s="112"/>
      <c r="D12" s="113"/>
      <c r="E12" s="113"/>
      <c r="F12" s="139"/>
      <c r="G12" s="114"/>
      <c r="H12" s="113"/>
      <c r="I12" s="140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95"/>
      <c r="AA12" s="95"/>
      <c r="AB12" s="95"/>
    </row>
    <row r="13" ht="15.75" customHeight="1">
      <c r="A13" s="110"/>
      <c r="B13" s="116" t="s">
        <v>98</v>
      </c>
      <c r="C13" s="117"/>
      <c r="D13" s="145"/>
      <c r="E13" s="145"/>
      <c r="F13" s="150"/>
      <c r="G13" s="118"/>
      <c r="H13" s="117"/>
      <c r="I13" s="152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95"/>
      <c r="AA13" s="95"/>
      <c r="AB13" s="95"/>
    </row>
    <row r="14" ht="90.0" customHeight="1">
      <c r="A14" s="122" t="s">
        <v>320</v>
      </c>
      <c r="B14" s="119" t="s">
        <v>321</v>
      </c>
      <c r="C14" s="156" t="s">
        <v>322</v>
      </c>
      <c r="D14" s="122" t="s">
        <v>323</v>
      </c>
      <c r="E14" s="158" t="s">
        <v>165</v>
      </c>
      <c r="F14" s="120" t="s">
        <v>18</v>
      </c>
      <c r="G14" s="160">
        <v>46322.0</v>
      </c>
      <c r="H14" s="161" t="s">
        <v>201</v>
      </c>
      <c r="I14" s="162" t="s">
        <v>183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4"/>
      <c r="AA14" s="14"/>
      <c r="AB14" s="14"/>
    </row>
    <row r="15" ht="69.75" customHeight="1">
      <c r="A15" s="122" t="s">
        <v>328</v>
      </c>
      <c r="B15" s="119" t="s">
        <v>329</v>
      </c>
      <c r="C15" s="156" t="s">
        <v>330</v>
      </c>
      <c r="D15" s="122" t="s">
        <v>331</v>
      </c>
      <c r="E15" s="158" t="s">
        <v>320</v>
      </c>
      <c r="F15" s="120" t="s">
        <v>18</v>
      </c>
      <c r="G15" s="160">
        <v>46322.0</v>
      </c>
      <c r="H15" s="161" t="s">
        <v>201</v>
      </c>
      <c r="I15" s="162" t="s">
        <v>183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4"/>
      <c r="AA15" s="14"/>
      <c r="AB15" s="14"/>
    </row>
    <row r="16" ht="15.75" customHeight="1">
      <c r="A16" s="138"/>
      <c r="B16" s="111" t="s">
        <v>102</v>
      </c>
      <c r="C16" s="112"/>
      <c r="D16" s="113"/>
      <c r="E16" s="113"/>
      <c r="F16" s="139"/>
      <c r="G16" s="114"/>
      <c r="H16" s="113"/>
      <c r="I16" s="140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95"/>
      <c r="AA16" s="95"/>
      <c r="AB16" s="95"/>
    </row>
    <row r="17" ht="15.75" customHeight="1">
      <c r="A17" s="110"/>
      <c r="B17" s="116" t="s">
        <v>103</v>
      </c>
      <c r="C17" s="117"/>
      <c r="D17" s="117"/>
      <c r="E17" s="117"/>
      <c r="F17" s="150"/>
      <c r="G17" s="118"/>
      <c r="H17" s="117"/>
      <c r="I17" s="152"/>
      <c r="J17" s="1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4"/>
      <c r="AA17" s="14"/>
      <c r="AB17" s="14"/>
    </row>
    <row r="18" ht="59.25" customHeight="1">
      <c r="A18" s="122" t="s">
        <v>335</v>
      </c>
      <c r="B18" s="119" t="s">
        <v>336</v>
      </c>
      <c r="C18" s="156" t="s">
        <v>337</v>
      </c>
      <c r="D18" s="122" t="s">
        <v>338</v>
      </c>
      <c r="E18" s="167" t="s">
        <v>339</v>
      </c>
      <c r="F18" s="120" t="s">
        <v>18</v>
      </c>
      <c r="G18" s="160">
        <v>46322.0</v>
      </c>
      <c r="H18" s="161" t="s">
        <v>181</v>
      </c>
      <c r="I18" s="162" t="s">
        <v>183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4"/>
      <c r="AA18" s="14"/>
      <c r="AB18" s="14"/>
    </row>
    <row r="19" ht="59.25" customHeight="1">
      <c r="A19" s="122" t="s">
        <v>340</v>
      </c>
      <c r="B19" s="119" t="s">
        <v>341</v>
      </c>
      <c r="C19" s="156" t="s">
        <v>342</v>
      </c>
      <c r="D19" s="122" t="s">
        <v>343</v>
      </c>
      <c r="E19" s="167" t="s">
        <v>344</v>
      </c>
      <c r="F19" s="120" t="s">
        <v>18</v>
      </c>
      <c r="G19" s="160">
        <v>46322.0</v>
      </c>
      <c r="H19" s="161" t="s">
        <v>201</v>
      </c>
      <c r="I19" s="162" t="s">
        <v>183</v>
      </c>
      <c r="J19" s="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95"/>
      <c r="AA19" s="95"/>
      <c r="AB19" s="95"/>
    </row>
    <row r="20" ht="15.75" customHeight="1">
      <c r="A20" s="110"/>
      <c r="B20" s="116" t="s">
        <v>105</v>
      </c>
      <c r="C20" s="117"/>
      <c r="D20" s="117"/>
      <c r="E20" s="117"/>
      <c r="F20" s="150"/>
      <c r="G20" s="118"/>
      <c r="H20" s="117"/>
      <c r="I20" s="152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95"/>
      <c r="AA20" s="95"/>
      <c r="AB20" s="95"/>
    </row>
    <row r="21" ht="45.75" customHeight="1">
      <c r="A21" s="122" t="s">
        <v>351</v>
      </c>
      <c r="B21" s="119" t="s">
        <v>352</v>
      </c>
      <c r="C21" s="119" t="s">
        <v>354</v>
      </c>
      <c r="D21" s="122" t="s">
        <v>356</v>
      </c>
      <c r="E21" s="158" t="s">
        <v>320</v>
      </c>
      <c r="F21" s="120" t="s">
        <v>18</v>
      </c>
      <c r="G21" s="160">
        <v>46322.0</v>
      </c>
      <c r="H21" s="161" t="s">
        <v>181</v>
      </c>
      <c r="I21" s="162" t="s">
        <v>183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4"/>
      <c r="AA21" s="14"/>
      <c r="AB21" s="14"/>
    </row>
    <row r="22" ht="45.75" customHeight="1">
      <c r="A22" s="122" t="s">
        <v>357</v>
      </c>
      <c r="B22" s="119" t="s">
        <v>358</v>
      </c>
      <c r="C22" s="119" t="s">
        <v>360</v>
      </c>
      <c r="D22" s="122" t="s">
        <v>362</v>
      </c>
      <c r="E22" s="158" t="s">
        <v>320</v>
      </c>
      <c r="F22" s="120" t="s">
        <v>18</v>
      </c>
      <c r="G22" s="160">
        <v>46322.0</v>
      </c>
      <c r="H22" s="161" t="s">
        <v>201</v>
      </c>
      <c r="I22" s="162" t="s">
        <v>183</v>
      </c>
      <c r="J22" s="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95"/>
      <c r="AA22" s="95"/>
      <c r="AB22" s="95"/>
    </row>
    <row r="23" ht="15.75" customHeight="1">
      <c r="A23" s="110"/>
      <c r="B23" s="116" t="s">
        <v>107</v>
      </c>
      <c r="C23" s="117"/>
      <c r="D23" s="117"/>
      <c r="E23" s="117"/>
      <c r="F23" s="150"/>
      <c r="G23" s="118"/>
      <c r="H23" s="117"/>
      <c r="I23" s="152"/>
      <c r="J23" s="1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4"/>
      <c r="AA23" s="14"/>
      <c r="AB23" s="14"/>
    </row>
    <row r="24" ht="84.0" customHeight="1">
      <c r="A24" s="122" t="s">
        <v>365</v>
      </c>
      <c r="B24" s="119" t="s">
        <v>366</v>
      </c>
      <c r="C24" s="119" t="s">
        <v>367</v>
      </c>
      <c r="D24" s="122" t="s">
        <v>368</v>
      </c>
      <c r="E24" s="167" t="s">
        <v>369</v>
      </c>
      <c r="F24" s="120" t="s">
        <v>18</v>
      </c>
      <c r="G24" s="160">
        <v>46322.0</v>
      </c>
      <c r="H24" s="161" t="s">
        <v>201</v>
      </c>
      <c r="I24" s="162" t="s">
        <v>183</v>
      </c>
      <c r="J24" s="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95"/>
      <c r="AA24" s="95"/>
      <c r="AB24" s="95"/>
    </row>
    <row r="25" ht="15.75" customHeight="1">
      <c r="A25" s="110"/>
      <c r="B25" s="116" t="s">
        <v>110</v>
      </c>
      <c r="C25" s="117"/>
      <c r="D25" s="117"/>
      <c r="E25" s="117"/>
      <c r="F25" s="150"/>
      <c r="G25" s="118"/>
      <c r="H25" s="117"/>
      <c r="I25" s="152"/>
      <c r="J25" s="1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4"/>
      <c r="AA25" s="14"/>
      <c r="AB25" s="14"/>
    </row>
    <row r="26" ht="33.0" customHeight="1">
      <c r="A26" s="122" t="s">
        <v>375</v>
      </c>
      <c r="B26" s="119" t="s">
        <v>377</v>
      </c>
      <c r="C26" s="119" t="s">
        <v>379</v>
      </c>
      <c r="D26" s="122" t="s">
        <v>381</v>
      </c>
      <c r="E26" s="158" t="s">
        <v>320</v>
      </c>
      <c r="F26" s="120" t="s">
        <v>18</v>
      </c>
      <c r="G26" s="160">
        <v>46322.0</v>
      </c>
      <c r="H26" s="161" t="s">
        <v>201</v>
      </c>
      <c r="I26" s="162" t="s">
        <v>183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4"/>
      <c r="AA26" s="14"/>
      <c r="AB26" s="14"/>
    </row>
    <row r="27" ht="33.0" customHeight="1">
      <c r="A27" s="122" t="s">
        <v>382</v>
      </c>
      <c r="B27" s="119" t="s">
        <v>383</v>
      </c>
      <c r="C27" s="119" t="s">
        <v>384</v>
      </c>
      <c r="D27" s="122" t="s">
        <v>387</v>
      </c>
      <c r="E27" s="167" t="s">
        <v>344</v>
      </c>
      <c r="F27" s="120" t="s">
        <v>18</v>
      </c>
      <c r="G27" s="160">
        <v>46322.0</v>
      </c>
      <c r="H27" s="161" t="s">
        <v>201</v>
      </c>
      <c r="I27" s="162" t="s">
        <v>183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4"/>
      <c r="AA27" s="14"/>
      <c r="AB27" s="14"/>
    </row>
    <row r="28" ht="15.75" customHeight="1">
      <c r="A28" s="110"/>
      <c r="B28" s="116" t="s">
        <v>113</v>
      </c>
      <c r="C28" s="117"/>
      <c r="D28" s="117"/>
      <c r="E28" s="117"/>
      <c r="F28" s="150"/>
      <c r="G28" s="118"/>
      <c r="H28" s="117"/>
      <c r="I28" s="152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95"/>
      <c r="AA28" s="95"/>
      <c r="AB28" s="95"/>
    </row>
    <row r="29" ht="46.5" customHeight="1">
      <c r="A29" s="122" t="s">
        <v>395</v>
      </c>
      <c r="B29" s="119" t="s">
        <v>396</v>
      </c>
      <c r="C29" s="119" t="s">
        <v>397</v>
      </c>
      <c r="D29" s="122" t="s">
        <v>398</v>
      </c>
      <c r="E29" s="167" t="s">
        <v>399</v>
      </c>
      <c r="F29" s="120" t="s">
        <v>18</v>
      </c>
      <c r="G29" s="160">
        <v>46322.0</v>
      </c>
      <c r="H29" s="161" t="s">
        <v>181</v>
      </c>
      <c r="I29" s="162" t="s">
        <v>183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4"/>
      <c r="AA29" s="14"/>
      <c r="AB29" s="14"/>
    </row>
    <row r="30" ht="15.75" customHeight="1">
      <c r="A30" s="138"/>
      <c r="B30" s="111" t="s">
        <v>120</v>
      </c>
      <c r="C30" s="112"/>
      <c r="D30" s="113"/>
      <c r="E30" s="113"/>
      <c r="F30" s="139"/>
      <c r="G30" s="114"/>
      <c r="H30" s="113"/>
      <c r="I30" s="140"/>
      <c r="J30" s="1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4"/>
      <c r="AA30" s="14"/>
      <c r="AB30" s="14"/>
    </row>
    <row r="31" ht="15.75" customHeight="1">
      <c r="A31" s="110"/>
      <c r="B31" s="116" t="s">
        <v>121</v>
      </c>
      <c r="C31" s="117"/>
      <c r="D31" s="117"/>
      <c r="E31" s="117"/>
      <c r="F31" s="150"/>
      <c r="G31" s="118"/>
      <c r="H31" s="117"/>
      <c r="I31" s="152"/>
      <c r="J31" s="1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4"/>
      <c r="AA31" s="14"/>
      <c r="AB31" s="14"/>
    </row>
    <row r="32" ht="33.0" customHeight="1">
      <c r="A32" s="122" t="s">
        <v>409</v>
      </c>
      <c r="B32" s="119" t="s">
        <v>410</v>
      </c>
      <c r="C32" s="119" t="s">
        <v>411</v>
      </c>
      <c r="D32" s="122" t="s">
        <v>412</v>
      </c>
      <c r="E32" s="158" t="s">
        <v>320</v>
      </c>
      <c r="F32" s="120" t="s">
        <v>18</v>
      </c>
      <c r="G32" s="160">
        <v>46322.0</v>
      </c>
      <c r="H32" s="161" t="s">
        <v>181</v>
      </c>
      <c r="I32" s="162" t="s">
        <v>231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4"/>
      <c r="AA32" s="14"/>
      <c r="AB32" s="14"/>
    </row>
    <row r="33" ht="15.75" customHeight="1">
      <c r="A33" s="110"/>
      <c r="B33" s="116" t="s">
        <v>126</v>
      </c>
      <c r="C33" s="117"/>
      <c r="D33" s="117"/>
      <c r="E33" s="117"/>
      <c r="F33" s="150"/>
      <c r="G33" s="118"/>
      <c r="H33" s="117"/>
      <c r="I33" s="152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95"/>
      <c r="AA33" s="95"/>
      <c r="AB33" s="95"/>
    </row>
    <row r="34" ht="46.5" customHeight="1">
      <c r="A34" s="122" t="s">
        <v>417</v>
      </c>
      <c r="B34" s="119" t="s">
        <v>418</v>
      </c>
      <c r="C34" s="119" t="s">
        <v>419</v>
      </c>
      <c r="D34" s="122" t="s">
        <v>420</v>
      </c>
      <c r="E34" s="158" t="s">
        <v>320</v>
      </c>
      <c r="F34" s="120" t="s">
        <v>18</v>
      </c>
      <c r="G34" s="160">
        <v>46322.0</v>
      </c>
      <c r="H34" s="161" t="s">
        <v>201</v>
      </c>
      <c r="I34" s="162" t="s">
        <v>231</v>
      </c>
      <c r="J34" s="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95"/>
      <c r="AA34" s="95"/>
      <c r="AB34" s="95"/>
    </row>
    <row r="35" ht="46.5" customHeight="1">
      <c r="A35" s="122" t="s">
        <v>426</v>
      </c>
      <c r="B35" s="119" t="s">
        <v>427</v>
      </c>
      <c r="C35" s="119" t="s">
        <v>428</v>
      </c>
      <c r="D35" s="122" t="s">
        <v>429</v>
      </c>
      <c r="E35" s="158" t="s">
        <v>320</v>
      </c>
      <c r="F35" s="120" t="s">
        <v>18</v>
      </c>
      <c r="G35" s="160">
        <v>46322.0</v>
      </c>
      <c r="H35" s="161" t="s">
        <v>201</v>
      </c>
      <c r="I35" s="162" t="s">
        <v>231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4"/>
      <c r="AA35" s="14"/>
      <c r="AB35" s="14"/>
    </row>
    <row r="36" ht="15.75" customHeight="1">
      <c r="A36" s="138"/>
      <c r="B36" s="111" t="s">
        <v>132</v>
      </c>
      <c r="C36" s="112"/>
      <c r="D36" s="113"/>
      <c r="E36" s="113"/>
      <c r="F36" s="139"/>
      <c r="G36" s="114"/>
      <c r="H36" s="113"/>
      <c r="I36" s="140"/>
      <c r="J36" s="1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4"/>
      <c r="AA36" s="14"/>
      <c r="AB36" s="14"/>
    </row>
    <row r="37" ht="15.75" customHeight="1">
      <c r="A37" s="110"/>
      <c r="B37" s="116" t="s">
        <v>133</v>
      </c>
      <c r="C37" s="117"/>
      <c r="D37" s="117"/>
      <c r="E37" s="117"/>
      <c r="F37" s="150"/>
      <c r="G37" s="118"/>
      <c r="H37" s="117"/>
      <c r="I37" s="152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95"/>
      <c r="AA37" s="95"/>
      <c r="AB37" s="95"/>
    </row>
    <row r="38" ht="46.5" customHeight="1">
      <c r="A38" s="122" t="s">
        <v>431</v>
      </c>
      <c r="B38" s="119" t="s">
        <v>432</v>
      </c>
      <c r="C38" s="119" t="s">
        <v>434</v>
      </c>
      <c r="D38" s="122" t="s">
        <v>436</v>
      </c>
      <c r="E38" s="158" t="s">
        <v>395</v>
      </c>
      <c r="F38" s="120" t="s">
        <v>18</v>
      </c>
      <c r="G38" s="160">
        <v>46322.0</v>
      </c>
      <c r="H38" s="161" t="s">
        <v>181</v>
      </c>
      <c r="I38" s="162" t="s">
        <v>183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4"/>
      <c r="AA38" s="14"/>
      <c r="AB38" s="14"/>
    </row>
    <row r="39" ht="15.75" customHeight="1">
      <c r="A39" s="110"/>
      <c r="B39" s="116" t="s">
        <v>138</v>
      </c>
      <c r="C39" s="117"/>
      <c r="D39" s="117"/>
      <c r="E39" s="117"/>
      <c r="F39" s="150"/>
      <c r="G39" s="118"/>
      <c r="H39" s="117"/>
      <c r="I39" s="152"/>
      <c r="J39" s="1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4"/>
      <c r="AA39" s="14"/>
      <c r="AB39" s="14"/>
    </row>
    <row r="40" ht="60.0" customHeight="1">
      <c r="A40" s="122" t="s">
        <v>444</v>
      </c>
      <c r="B40" s="119" t="s">
        <v>445</v>
      </c>
      <c r="C40" s="119" t="s">
        <v>446</v>
      </c>
      <c r="D40" s="122" t="s">
        <v>447</v>
      </c>
      <c r="E40" s="158" t="s">
        <v>328</v>
      </c>
      <c r="F40" s="120" t="s">
        <v>18</v>
      </c>
      <c r="G40" s="160">
        <v>46322.0</v>
      </c>
      <c r="H40" s="161" t="s">
        <v>201</v>
      </c>
      <c r="I40" s="162" t="s">
        <v>183</v>
      </c>
      <c r="J40" s="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95"/>
      <c r="AA40" s="95"/>
      <c r="AB40" s="95"/>
    </row>
    <row r="41" ht="15.75" customHeight="1">
      <c r="A41" s="138"/>
      <c r="B41" s="111" t="s">
        <v>142</v>
      </c>
      <c r="C41" s="112"/>
      <c r="D41" s="113"/>
      <c r="E41" s="113"/>
      <c r="F41" s="139"/>
      <c r="G41" s="114"/>
      <c r="H41" s="113"/>
      <c r="I41" s="140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95"/>
      <c r="AA41" s="95"/>
      <c r="AB41" s="95"/>
    </row>
    <row r="42" ht="15.75" customHeight="1">
      <c r="A42" s="110"/>
      <c r="B42" s="116" t="s">
        <v>143</v>
      </c>
      <c r="C42" s="117"/>
      <c r="D42" s="117"/>
      <c r="E42" s="117"/>
      <c r="F42" s="150"/>
      <c r="G42" s="118"/>
      <c r="H42" s="117"/>
      <c r="I42" s="152"/>
      <c r="J42" s="1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4"/>
      <c r="AA42" s="14"/>
      <c r="AB42" s="14"/>
    </row>
    <row r="43" ht="60.0" customHeight="1">
      <c r="A43" s="122" t="s">
        <v>452</v>
      </c>
      <c r="B43" s="119" t="s">
        <v>453</v>
      </c>
      <c r="C43" s="119" t="s">
        <v>454</v>
      </c>
      <c r="D43" s="122" t="s">
        <v>455</v>
      </c>
      <c r="E43" s="167" t="s">
        <v>456</v>
      </c>
      <c r="F43" s="120" t="s">
        <v>18</v>
      </c>
      <c r="G43" s="160">
        <v>46322.0</v>
      </c>
      <c r="H43" s="161" t="s">
        <v>181</v>
      </c>
      <c r="I43" s="162" t="s">
        <v>183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4"/>
      <c r="AA43" s="14"/>
      <c r="AB43" s="14"/>
    </row>
    <row r="44" ht="15.75" customHeight="1">
      <c r="A44" s="138"/>
      <c r="B44" s="111" t="s">
        <v>145</v>
      </c>
      <c r="C44" s="112"/>
      <c r="D44" s="113"/>
      <c r="E44" s="113"/>
      <c r="F44" s="139"/>
      <c r="G44" s="114"/>
      <c r="H44" s="113"/>
      <c r="I44" s="140"/>
      <c r="J44" s="1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4"/>
      <c r="AA44" s="14"/>
      <c r="AB44" s="14"/>
    </row>
    <row r="45" ht="15.75" customHeight="1">
      <c r="A45" s="110"/>
      <c r="B45" s="116" t="s">
        <v>146</v>
      </c>
      <c r="C45" s="117"/>
      <c r="D45" s="117"/>
      <c r="E45" s="117"/>
      <c r="F45" s="150"/>
      <c r="G45" s="118"/>
      <c r="H45" s="117"/>
      <c r="I45" s="152"/>
      <c r="J45" s="1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4"/>
      <c r="AA45" s="14"/>
      <c r="AB45" s="14"/>
    </row>
    <row r="46" ht="60.0" customHeight="1">
      <c r="A46" s="122" t="s">
        <v>461</v>
      </c>
      <c r="B46" s="119" t="s">
        <v>462</v>
      </c>
      <c r="C46" s="119" t="s">
        <v>463</v>
      </c>
      <c r="D46" s="122" t="s">
        <v>464</v>
      </c>
      <c r="E46" s="167" t="s">
        <v>465</v>
      </c>
      <c r="F46" s="120" t="s">
        <v>18</v>
      </c>
      <c r="G46" s="160">
        <v>46322.0</v>
      </c>
      <c r="H46" s="161" t="s">
        <v>181</v>
      </c>
      <c r="I46" s="162" t="s">
        <v>183</v>
      </c>
      <c r="J46" s="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95"/>
      <c r="AA46" s="95"/>
      <c r="AB46" s="95"/>
    </row>
    <row r="47" ht="73.5" customHeight="1">
      <c r="A47" s="122" t="s">
        <v>468</v>
      </c>
      <c r="B47" s="119" t="s">
        <v>470</v>
      </c>
      <c r="C47" s="119" t="s">
        <v>472</v>
      </c>
      <c r="D47" s="122" t="s">
        <v>473</v>
      </c>
      <c r="E47" s="167" t="s">
        <v>474</v>
      </c>
      <c r="F47" s="120" t="s">
        <v>18</v>
      </c>
      <c r="G47" s="160">
        <v>46322.0</v>
      </c>
      <c r="H47" s="161" t="s">
        <v>201</v>
      </c>
      <c r="I47" s="162" t="s">
        <v>183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4"/>
      <c r="AA47" s="14"/>
      <c r="AB47" s="14"/>
    </row>
    <row r="48" ht="15.75" customHeight="1">
      <c r="A48" s="110"/>
      <c r="B48" s="116" t="s">
        <v>148</v>
      </c>
      <c r="C48" s="117"/>
      <c r="D48" s="117"/>
      <c r="E48" s="117"/>
      <c r="F48" s="150"/>
      <c r="G48" s="118"/>
      <c r="H48" s="117"/>
      <c r="I48" s="152"/>
      <c r="J48" s="1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4"/>
      <c r="AA48" s="14"/>
      <c r="AB48" s="14"/>
    </row>
    <row r="49" ht="73.5" customHeight="1">
      <c r="A49" s="122" t="s">
        <v>481</v>
      </c>
      <c r="B49" s="119" t="s">
        <v>483</v>
      </c>
      <c r="C49" s="119" t="s">
        <v>485</v>
      </c>
      <c r="D49" s="122" t="s">
        <v>486</v>
      </c>
      <c r="E49" s="158" t="s">
        <v>452</v>
      </c>
      <c r="F49" s="120" t="s">
        <v>18</v>
      </c>
      <c r="G49" s="160">
        <v>46322.0</v>
      </c>
      <c r="H49" s="161" t="s">
        <v>181</v>
      </c>
      <c r="I49" s="162" t="s">
        <v>183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4"/>
      <c r="AA49" s="14"/>
      <c r="AB49" s="14"/>
    </row>
    <row r="50" ht="122.25" customHeight="1">
      <c r="A50" s="122" t="s">
        <v>488</v>
      </c>
      <c r="B50" s="119" t="s">
        <v>490</v>
      </c>
      <c r="C50" s="119" t="s">
        <v>492</v>
      </c>
      <c r="D50" s="122" t="s">
        <v>494</v>
      </c>
      <c r="E50" s="158" t="s">
        <v>481</v>
      </c>
      <c r="F50" s="120" t="s">
        <v>18</v>
      </c>
      <c r="G50" s="160">
        <v>46322.0</v>
      </c>
      <c r="H50" s="161" t="s">
        <v>181</v>
      </c>
      <c r="I50" s="162" t="s">
        <v>183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4"/>
      <c r="AA50" s="14"/>
      <c r="AB50" s="14"/>
    </row>
    <row r="51" ht="15.75" customHeight="1">
      <c r="A51" s="138"/>
      <c r="B51" s="111" t="s">
        <v>150</v>
      </c>
      <c r="C51" s="112"/>
      <c r="D51" s="113"/>
      <c r="E51" s="113"/>
      <c r="F51" s="139"/>
      <c r="G51" s="114"/>
      <c r="H51" s="113"/>
      <c r="I51" s="140"/>
      <c r="J51" s="1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4"/>
      <c r="AA51" s="14"/>
      <c r="AB51" s="14"/>
    </row>
    <row r="52" ht="15.75" customHeight="1">
      <c r="A52" s="110"/>
      <c r="B52" s="116" t="s">
        <v>151</v>
      </c>
      <c r="C52" s="117"/>
      <c r="D52" s="117"/>
      <c r="E52" s="117"/>
      <c r="F52" s="150"/>
      <c r="G52" s="118"/>
      <c r="H52" s="117"/>
      <c r="I52" s="152"/>
      <c r="J52" s="1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4"/>
      <c r="AA52" s="14"/>
      <c r="AB52" s="14"/>
    </row>
    <row r="53" ht="46.5" customHeight="1">
      <c r="A53" s="122" t="s">
        <v>499</v>
      </c>
      <c r="B53" s="119" t="s">
        <v>500</v>
      </c>
      <c r="C53" s="119" t="s">
        <v>501</v>
      </c>
      <c r="D53" s="122" t="s">
        <v>502</v>
      </c>
      <c r="E53" s="158" t="s">
        <v>452</v>
      </c>
      <c r="F53" s="180" t="s">
        <v>30</v>
      </c>
      <c r="G53" s="160">
        <v>46322.0</v>
      </c>
      <c r="H53" s="161" t="s">
        <v>181</v>
      </c>
      <c r="I53" s="162" t="s">
        <v>231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4"/>
      <c r="AA53" s="14"/>
      <c r="AB53" s="14"/>
    </row>
    <row r="54" ht="46.5" customHeight="1">
      <c r="A54" s="122" t="s">
        <v>507</v>
      </c>
      <c r="B54" s="119" t="s">
        <v>508</v>
      </c>
      <c r="C54" s="119" t="s">
        <v>509</v>
      </c>
      <c r="D54" s="122" t="s">
        <v>510</v>
      </c>
      <c r="E54" s="158" t="s">
        <v>452</v>
      </c>
      <c r="F54" s="120" t="s">
        <v>18</v>
      </c>
      <c r="G54" s="160">
        <v>46322.0</v>
      </c>
      <c r="H54" s="161" t="s">
        <v>201</v>
      </c>
      <c r="I54" s="162" t="s">
        <v>260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4"/>
      <c r="AA54" s="14"/>
      <c r="AB54" s="14"/>
    </row>
    <row r="55" ht="46.5" customHeight="1">
      <c r="A55" s="122" t="s">
        <v>511</v>
      </c>
      <c r="B55" s="119" t="s">
        <v>512</v>
      </c>
      <c r="C55" s="119" t="s">
        <v>513</v>
      </c>
      <c r="D55" s="122" t="s">
        <v>514</v>
      </c>
      <c r="E55" s="158" t="s">
        <v>452</v>
      </c>
      <c r="F55" s="120" t="s">
        <v>18</v>
      </c>
      <c r="G55" s="160">
        <v>46322.0</v>
      </c>
      <c r="H55" s="161" t="s">
        <v>181</v>
      </c>
      <c r="I55" s="162" t="s">
        <v>231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4"/>
      <c r="AA55" s="14"/>
      <c r="AB55" s="14"/>
    </row>
    <row r="56" ht="15.75" customHeight="1">
      <c r="A56" s="110"/>
      <c r="B56" s="116" t="s">
        <v>153</v>
      </c>
      <c r="C56" s="117"/>
      <c r="D56" s="117"/>
      <c r="E56" s="117"/>
      <c r="F56" s="150"/>
      <c r="G56" s="118"/>
      <c r="H56" s="117"/>
      <c r="I56" s="152"/>
      <c r="J56" s="1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4"/>
      <c r="AA56" s="14"/>
      <c r="AB56" s="14"/>
    </row>
    <row r="57" ht="46.5" customHeight="1">
      <c r="A57" s="122" t="s">
        <v>522</v>
      </c>
      <c r="B57" s="119" t="s">
        <v>523</v>
      </c>
      <c r="C57" s="119" t="s">
        <v>524</v>
      </c>
      <c r="D57" s="122" t="s">
        <v>525</v>
      </c>
      <c r="E57" s="158" t="s">
        <v>452</v>
      </c>
      <c r="F57" s="120" t="s">
        <v>18</v>
      </c>
      <c r="G57" s="160">
        <v>46322.0</v>
      </c>
      <c r="H57" s="161" t="s">
        <v>201</v>
      </c>
      <c r="I57" s="162" t="s">
        <v>231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4"/>
      <c r="AA57" s="14"/>
      <c r="AB57" s="14"/>
    </row>
    <row r="58" ht="73.5" customHeight="1">
      <c r="A58" s="122" t="s">
        <v>526</v>
      </c>
      <c r="B58" s="119" t="s">
        <v>527</v>
      </c>
      <c r="C58" s="119" t="s">
        <v>528</v>
      </c>
      <c r="D58" s="122" t="s">
        <v>529</v>
      </c>
      <c r="E58" s="158" t="s">
        <v>452</v>
      </c>
      <c r="F58" s="120" t="s">
        <v>18</v>
      </c>
      <c r="G58" s="160">
        <v>46322.0</v>
      </c>
      <c r="H58" s="161" t="s">
        <v>181</v>
      </c>
      <c r="I58" s="162" t="s">
        <v>231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4"/>
      <c r="AA58" s="14"/>
      <c r="AB58" s="14"/>
    </row>
    <row r="59" ht="73.5" customHeight="1">
      <c r="A59" s="122" t="s">
        <v>534</v>
      </c>
      <c r="B59" s="119" t="s">
        <v>535</v>
      </c>
      <c r="C59" s="119" t="s">
        <v>536</v>
      </c>
      <c r="D59" s="122" t="s">
        <v>537</v>
      </c>
      <c r="E59" s="158" t="s">
        <v>452</v>
      </c>
      <c r="F59" s="120" t="s">
        <v>18</v>
      </c>
      <c r="G59" s="160">
        <v>46322.0</v>
      </c>
      <c r="H59" s="161" t="s">
        <v>201</v>
      </c>
      <c r="I59" s="162" t="s">
        <v>260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4"/>
      <c r="AA59" s="14"/>
      <c r="AB59" s="14"/>
    </row>
    <row r="60" ht="15.75" customHeight="1">
      <c r="A60" s="110"/>
      <c r="B60" s="116" t="s">
        <v>155</v>
      </c>
      <c r="C60" s="117"/>
      <c r="D60" s="117"/>
      <c r="E60" s="117"/>
      <c r="F60" s="150"/>
      <c r="G60" s="118"/>
      <c r="H60" s="117"/>
      <c r="I60" s="152"/>
      <c r="J60" s="1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4"/>
      <c r="AA60" s="14"/>
      <c r="AB60" s="14"/>
    </row>
    <row r="61" ht="73.5" customHeight="1">
      <c r="A61" s="122" t="s">
        <v>540</v>
      </c>
      <c r="B61" s="119" t="s">
        <v>542</v>
      </c>
      <c r="C61" s="119" t="s">
        <v>544</v>
      </c>
      <c r="D61" s="122" t="s">
        <v>545</v>
      </c>
      <c r="E61" s="158" t="s">
        <v>452</v>
      </c>
      <c r="F61" s="120" t="s">
        <v>18</v>
      </c>
      <c r="G61" s="160">
        <v>46322.0</v>
      </c>
      <c r="H61" s="161" t="s">
        <v>206</v>
      </c>
      <c r="I61" s="162" t="s">
        <v>183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4"/>
      <c r="AA61" s="14"/>
      <c r="AB61" s="14"/>
    </row>
    <row r="62" ht="15.75" customHeight="1">
      <c r="A62" s="138"/>
      <c r="B62" s="111" t="s">
        <v>157</v>
      </c>
      <c r="C62" s="112"/>
      <c r="D62" s="113"/>
      <c r="E62" s="113"/>
      <c r="F62" s="139"/>
      <c r="G62" s="114"/>
      <c r="H62" s="113"/>
      <c r="I62" s="140"/>
      <c r="J62" s="1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4"/>
      <c r="AA62" s="14"/>
      <c r="AB62" s="14"/>
    </row>
    <row r="63" ht="15.75" customHeight="1">
      <c r="A63" s="110"/>
      <c r="B63" s="116" t="s">
        <v>158</v>
      </c>
      <c r="C63" s="117"/>
      <c r="D63" s="117"/>
      <c r="E63" s="117"/>
      <c r="F63" s="150"/>
      <c r="G63" s="118"/>
      <c r="H63" s="117"/>
      <c r="I63" s="152"/>
      <c r="J63" s="1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4"/>
      <c r="AA63" s="14"/>
      <c r="AB63" s="14"/>
    </row>
    <row r="64" ht="64.5" customHeight="1">
      <c r="A64" s="122" t="s">
        <v>546</v>
      </c>
      <c r="B64" s="119" t="s">
        <v>547</v>
      </c>
      <c r="C64" s="119" t="s">
        <v>548</v>
      </c>
      <c r="D64" s="122" t="s">
        <v>549</v>
      </c>
      <c r="E64" s="167" t="s">
        <v>399</v>
      </c>
      <c r="F64" s="180" t="s">
        <v>30</v>
      </c>
      <c r="G64" s="160">
        <v>46322.0</v>
      </c>
      <c r="H64" s="161" t="s">
        <v>201</v>
      </c>
      <c r="I64" s="162" t="s">
        <v>231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4"/>
      <c r="AA64" s="14"/>
      <c r="AB64" s="14"/>
    </row>
    <row r="65" ht="64.5" customHeight="1">
      <c r="A65" s="122" t="s">
        <v>550</v>
      </c>
      <c r="B65" s="119" t="s">
        <v>551</v>
      </c>
      <c r="C65" s="119" t="s">
        <v>552</v>
      </c>
      <c r="D65" s="122" t="s">
        <v>553</v>
      </c>
      <c r="E65" s="158" t="s">
        <v>546</v>
      </c>
      <c r="F65" s="120" t="s">
        <v>18</v>
      </c>
      <c r="G65" s="160">
        <v>46322.0</v>
      </c>
      <c r="H65" s="161" t="s">
        <v>181</v>
      </c>
      <c r="I65" s="162" t="s">
        <v>183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4"/>
      <c r="AA65" s="14"/>
      <c r="AB65" s="14"/>
    </row>
    <row r="66" ht="15.75" customHeight="1">
      <c r="A66" s="15"/>
      <c r="B66" s="15"/>
      <c r="C66" s="15"/>
      <c r="D66" s="15"/>
      <c r="E66" s="15"/>
      <c r="F66" s="15"/>
      <c r="G66" s="3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4"/>
      <c r="AA66" s="14"/>
      <c r="AB66" s="14"/>
    </row>
    <row r="67" ht="15.75" customHeight="1">
      <c r="A67" s="15"/>
      <c r="B67" s="15"/>
      <c r="C67" s="15"/>
      <c r="D67" s="15"/>
      <c r="E67" s="15"/>
      <c r="F67" s="15"/>
      <c r="G67" s="3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4"/>
      <c r="AA67" s="14"/>
      <c r="AB67" s="14"/>
    </row>
    <row r="68" ht="15.75" customHeight="1">
      <c r="A68" s="15"/>
      <c r="B68" s="15"/>
      <c r="C68" s="15"/>
      <c r="D68" s="15"/>
      <c r="E68" s="15"/>
      <c r="F68" s="15"/>
      <c r="G68" s="3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4"/>
      <c r="AA68" s="14"/>
      <c r="AB68" s="14"/>
    </row>
    <row r="69" ht="15.75" customHeight="1">
      <c r="A69" s="15"/>
      <c r="B69" s="15"/>
      <c r="C69" s="15"/>
      <c r="D69" s="15"/>
      <c r="E69" s="15"/>
      <c r="F69" s="15"/>
      <c r="G69" s="3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4"/>
      <c r="AA69" s="14"/>
      <c r="AB69" s="14"/>
    </row>
    <row r="70" ht="15.75" customHeight="1">
      <c r="A70" s="15"/>
      <c r="B70" s="15"/>
      <c r="C70" s="15"/>
      <c r="D70" s="15"/>
      <c r="E70" s="15"/>
      <c r="F70" s="15"/>
      <c r="G70" s="3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4"/>
      <c r="AA70" s="14"/>
      <c r="AB70" s="14"/>
    </row>
    <row r="71" ht="15.75" customHeight="1">
      <c r="A71" s="15"/>
      <c r="B71" s="15"/>
      <c r="C71" s="15"/>
      <c r="D71" s="15"/>
      <c r="E71" s="15"/>
      <c r="F71" s="15"/>
      <c r="G71" s="3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4"/>
      <c r="AA71" s="14"/>
      <c r="AB71" s="14"/>
    </row>
    <row r="72" ht="15.75" customHeight="1">
      <c r="A72" s="15"/>
      <c r="B72" s="15"/>
      <c r="C72" s="15"/>
      <c r="D72" s="15"/>
      <c r="E72" s="15"/>
      <c r="F72" s="15"/>
      <c r="G72" s="3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4"/>
      <c r="AA72" s="14"/>
      <c r="AB72" s="14"/>
    </row>
    <row r="73" ht="15.75" customHeight="1">
      <c r="A73" s="15"/>
      <c r="B73" s="15"/>
      <c r="C73" s="15"/>
      <c r="D73" s="15"/>
      <c r="E73" s="15"/>
      <c r="F73" s="15"/>
      <c r="G73" s="3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4"/>
      <c r="AA73" s="14"/>
      <c r="AB73" s="14"/>
    </row>
    <row r="74" ht="15.75" customHeight="1">
      <c r="A74" s="15"/>
      <c r="B74" s="15"/>
      <c r="C74" s="15"/>
      <c r="D74" s="15"/>
      <c r="E74" s="15"/>
      <c r="F74" s="15"/>
      <c r="G74" s="3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4"/>
      <c r="AA74" s="14"/>
      <c r="AB74" s="14"/>
    </row>
    <row r="75" ht="15.75" customHeight="1">
      <c r="A75" s="15"/>
      <c r="B75" s="15"/>
      <c r="C75" s="15"/>
      <c r="D75" s="15"/>
      <c r="E75" s="15"/>
      <c r="F75" s="15"/>
      <c r="G75" s="3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4"/>
      <c r="AA75" s="14"/>
      <c r="AB75" s="14"/>
    </row>
    <row r="76" ht="15.75" customHeight="1">
      <c r="A76" s="15"/>
      <c r="B76" s="15"/>
      <c r="C76" s="15"/>
      <c r="D76" s="15"/>
      <c r="E76" s="15"/>
      <c r="F76" s="15"/>
      <c r="G76" s="3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4"/>
      <c r="AA76" s="14"/>
      <c r="AB76" s="14"/>
    </row>
    <row r="77" ht="15.75" customHeight="1">
      <c r="A77" s="15"/>
      <c r="B77" s="15"/>
      <c r="C77" s="15"/>
      <c r="D77" s="15"/>
      <c r="E77" s="15"/>
      <c r="F77" s="15"/>
      <c r="G77" s="3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4"/>
      <c r="AA77" s="14"/>
      <c r="AB77" s="14"/>
    </row>
    <row r="78" ht="15.75" customHeight="1">
      <c r="A78" s="15"/>
      <c r="B78" s="15"/>
      <c r="C78" s="15"/>
      <c r="D78" s="15"/>
      <c r="E78" s="15"/>
      <c r="F78" s="15"/>
      <c r="G78" s="3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4"/>
      <c r="AA78" s="14"/>
      <c r="AB78" s="14"/>
    </row>
    <row r="79" ht="15.75" customHeight="1">
      <c r="A79" s="15"/>
      <c r="B79" s="15"/>
      <c r="C79" s="15"/>
      <c r="D79" s="15"/>
      <c r="E79" s="15"/>
      <c r="F79" s="15"/>
      <c r="G79" s="3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4"/>
      <c r="AA79" s="14"/>
      <c r="AB79" s="14"/>
    </row>
    <row r="80" ht="15.75" customHeight="1">
      <c r="A80" s="15"/>
      <c r="B80" s="15"/>
      <c r="C80" s="15"/>
      <c r="D80" s="15"/>
      <c r="E80" s="15"/>
      <c r="F80" s="15"/>
      <c r="G80" s="3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4"/>
      <c r="AA80" s="14"/>
      <c r="AB80" s="14"/>
    </row>
    <row r="81" ht="15.75" customHeight="1">
      <c r="A81" s="15"/>
      <c r="B81" s="15"/>
      <c r="C81" s="15"/>
      <c r="D81" s="15"/>
      <c r="E81" s="15"/>
      <c r="F81" s="15"/>
      <c r="G81" s="3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4"/>
      <c r="AA81" s="14"/>
      <c r="AB81" s="14"/>
    </row>
    <row r="82" ht="15.75" customHeight="1">
      <c r="A82" s="15"/>
      <c r="B82" s="15"/>
      <c r="C82" s="15"/>
      <c r="D82" s="15"/>
      <c r="E82" s="15"/>
      <c r="F82" s="15"/>
      <c r="G82" s="3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4"/>
      <c r="AA82" s="14"/>
      <c r="AB82" s="14"/>
    </row>
    <row r="83" ht="15.75" customHeight="1">
      <c r="A83" s="15"/>
      <c r="B83" s="15"/>
      <c r="C83" s="15"/>
      <c r="D83" s="15"/>
      <c r="E83" s="15"/>
      <c r="F83" s="15"/>
      <c r="G83" s="3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4"/>
      <c r="AA83" s="14"/>
      <c r="AB83" s="14"/>
    </row>
    <row r="84" ht="15.75" customHeight="1">
      <c r="A84" s="15"/>
      <c r="B84" s="15"/>
      <c r="C84" s="15"/>
      <c r="D84" s="15"/>
      <c r="E84" s="15"/>
      <c r="F84" s="15"/>
      <c r="G84" s="3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4"/>
      <c r="AA84" s="14"/>
      <c r="AB84" s="14"/>
    </row>
    <row r="85" ht="15.75" customHeight="1">
      <c r="A85" s="15"/>
      <c r="B85" s="15"/>
      <c r="C85" s="15"/>
      <c r="D85" s="15"/>
      <c r="E85" s="15"/>
      <c r="F85" s="15"/>
      <c r="G85" s="3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4"/>
      <c r="AA85" s="14"/>
      <c r="AB85" s="14"/>
    </row>
    <row r="86" ht="15.75" customHeight="1">
      <c r="A86" s="15"/>
      <c r="B86" s="15"/>
      <c r="C86" s="15"/>
      <c r="D86" s="15"/>
      <c r="E86" s="15"/>
      <c r="F86" s="15"/>
      <c r="G86" s="3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4"/>
      <c r="AA86" s="14"/>
      <c r="AB86" s="14"/>
    </row>
    <row r="87" ht="15.75" customHeight="1">
      <c r="A87" s="15"/>
      <c r="B87" s="15"/>
      <c r="C87" s="15"/>
      <c r="D87" s="15"/>
      <c r="E87" s="15"/>
      <c r="F87" s="15"/>
      <c r="G87" s="3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4"/>
      <c r="AA87" s="14"/>
      <c r="AB87" s="14"/>
    </row>
    <row r="88" ht="15.75" customHeight="1">
      <c r="A88" s="15"/>
      <c r="B88" s="15"/>
      <c r="C88" s="15"/>
      <c r="D88" s="15"/>
      <c r="E88" s="15"/>
      <c r="F88" s="15"/>
      <c r="G88" s="3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4"/>
      <c r="AA88" s="14"/>
      <c r="AB88" s="14"/>
    </row>
    <row r="89" ht="15.75" customHeight="1">
      <c r="A89" s="15"/>
      <c r="B89" s="15"/>
      <c r="C89" s="15"/>
      <c r="D89" s="15"/>
      <c r="E89" s="15"/>
      <c r="F89" s="15"/>
      <c r="G89" s="3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4"/>
      <c r="AA89" s="14"/>
      <c r="AB89" s="14"/>
    </row>
    <row r="90" ht="15.75" customHeight="1">
      <c r="A90" s="15"/>
      <c r="B90" s="15"/>
      <c r="C90" s="15"/>
      <c r="D90" s="15"/>
      <c r="E90" s="15"/>
      <c r="F90" s="15"/>
      <c r="G90" s="3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4"/>
      <c r="AA90" s="14"/>
      <c r="AB90" s="14"/>
    </row>
    <row r="91" ht="15.75" customHeight="1">
      <c r="A91" s="15"/>
      <c r="B91" s="15"/>
      <c r="C91" s="15"/>
      <c r="D91" s="15"/>
      <c r="E91" s="15"/>
      <c r="F91" s="15"/>
      <c r="G91" s="3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4"/>
      <c r="AA91" s="14"/>
      <c r="AB91" s="14"/>
    </row>
    <row r="92" ht="15.75" customHeight="1">
      <c r="A92" s="15"/>
      <c r="B92" s="15"/>
      <c r="C92" s="15"/>
      <c r="D92" s="15"/>
      <c r="E92" s="15"/>
      <c r="F92" s="15"/>
      <c r="G92" s="3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4"/>
      <c r="AA92" s="14"/>
      <c r="AB92" s="14"/>
    </row>
    <row r="93" ht="15.75" customHeight="1">
      <c r="A93" s="15"/>
      <c r="B93" s="15"/>
      <c r="C93" s="15"/>
      <c r="D93" s="15"/>
      <c r="E93" s="15"/>
      <c r="F93" s="15"/>
      <c r="G93" s="3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4"/>
      <c r="AA93" s="14"/>
      <c r="AB93" s="14"/>
    </row>
    <row r="94" ht="15.75" customHeight="1">
      <c r="A94" s="15"/>
      <c r="B94" s="15"/>
      <c r="C94" s="15"/>
      <c r="D94" s="15"/>
      <c r="E94" s="15"/>
      <c r="F94" s="15"/>
      <c r="G94" s="3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4"/>
      <c r="AA94" s="14"/>
      <c r="AB94" s="14"/>
    </row>
    <row r="95" ht="15.75" customHeight="1">
      <c r="A95" s="15"/>
      <c r="B95" s="15"/>
      <c r="C95" s="15"/>
      <c r="D95" s="15"/>
      <c r="E95" s="15"/>
      <c r="F95" s="15"/>
      <c r="G95" s="3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4"/>
      <c r="AA95" s="14"/>
      <c r="AB95" s="14"/>
    </row>
    <row r="96" ht="15.75" customHeight="1">
      <c r="A96" s="15"/>
      <c r="B96" s="15"/>
      <c r="C96" s="15"/>
      <c r="D96" s="15"/>
      <c r="E96" s="15"/>
      <c r="F96" s="15"/>
      <c r="G96" s="3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4"/>
      <c r="AA96" s="14"/>
      <c r="AB96" s="14"/>
    </row>
    <row r="97" ht="15.75" customHeight="1">
      <c r="A97" s="15"/>
      <c r="B97" s="15"/>
      <c r="C97" s="15"/>
      <c r="D97" s="15"/>
      <c r="E97" s="15"/>
      <c r="F97" s="15"/>
      <c r="G97" s="3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4"/>
      <c r="AA97" s="14"/>
      <c r="AB97" s="14"/>
    </row>
    <row r="98" ht="15.75" customHeight="1">
      <c r="A98" s="15"/>
      <c r="B98" s="15"/>
      <c r="C98" s="15"/>
      <c r="D98" s="15"/>
      <c r="E98" s="15"/>
      <c r="F98" s="15"/>
      <c r="G98" s="3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4"/>
      <c r="AA98" s="14"/>
      <c r="AB98" s="14"/>
    </row>
    <row r="99" ht="15.75" customHeight="1">
      <c r="A99" s="15"/>
      <c r="B99" s="15"/>
      <c r="C99" s="15"/>
      <c r="D99" s="15"/>
      <c r="E99" s="15"/>
      <c r="F99" s="15"/>
      <c r="G99" s="3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4"/>
      <c r="AA99" s="14"/>
      <c r="AB99" s="14"/>
    </row>
    <row r="100" ht="15.75" customHeight="1">
      <c r="A100" s="15"/>
      <c r="B100" s="15"/>
      <c r="C100" s="15"/>
      <c r="D100" s="15"/>
      <c r="E100" s="15"/>
      <c r="F100" s="15"/>
      <c r="G100" s="3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4"/>
      <c r="AA100" s="14"/>
      <c r="AB100" s="14"/>
    </row>
    <row r="101" ht="15.75" customHeight="1">
      <c r="A101" s="15"/>
      <c r="B101" s="15"/>
      <c r="C101" s="15"/>
      <c r="D101" s="15"/>
      <c r="E101" s="15"/>
      <c r="F101" s="15"/>
      <c r="G101" s="3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4"/>
      <c r="AA101" s="14"/>
      <c r="AB101" s="14"/>
    </row>
    <row r="102" ht="15.75" customHeight="1">
      <c r="A102" s="15"/>
      <c r="B102" s="15"/>
      <c r="C102" s="15"/>
      <c r="D102" s="15"/>
      <c r="E102" s="15"/>
      <c r="F102" s="15"/>
      <c r="G102" s="3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4"/>
      <c r="AA102" s="14"/>
      <c r="AB102" s="14"/>
    </row>
    <row r="103" ht="15.75" customHeight="1">
      <c r="A103" s="15"/>
      <c r="B103" s="15"/>
      <c r="C103" s="15"/>
      <c r="D103" s="15"/>
      <c r="E103" s="15"/>
      <c r="F103" s="15"/>
      <c r="G103" s="3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4"/>
      <c r="AA103" s="14"/>
      <c r="AB103" s="14"/>
    </row>
    <row r="104" ht="15.75" customHeight="1">
      <c r="A104" s="15"/>
      <c r="B104" s="15"/>
      <c r="C104" s="15"/>
      <c r="D104" s="15"/>
      <c r="E104" s="15"/>
      <c r="F104" s="15"/>
      <c r="G104" s="3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4"/>
      <c r="AA104" s="14"/>
      <c r="AB104" s="14"/>
    </row>
    <row r="105" ht="15.75" customHeight="1">
      <c r="A105" s="15"/>
      <c r="B105" s="15"/>
      <c r="C105" s="15"/>
      <c r="D105" s="15"/>
      <c r="E105" s="15"/>
      <c r="F105" s="15"/>
      <c r="G105" s="3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4"/>
      <c r="AA105" s="14"/>
      <c r="AB105" s="14"/>
    </row>
    <row r="106" ht="15.75" customHeight="1">
      <c r="A106" s="15"/>
      <c r="B106" s="15"/>
      <c r="C106" s="15"/>
      <c r="D106" s="15"/>
      <c r="E106" s="15"/>
      <c r="F106" s="15"/>
      <c r="G106" s="3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4"/>
      <c r="AA106" s="14"/>
      <c r="AB106" s="14"/>
    </row>
    <row r="107" ht="15.75" customHeight="1">
      <c r="A107" s="15"/>
      <c r="B107" s="15"/>
      <c r="C107" s="15"/>
      <c r="D107" s="15"/>
      <c r="E107" s="15"/>
      <c r="F107" s="15"/>
      <c r="G107" s="3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4"/>
      <c r="AA107" s="14"/>
      <c r="AB107" s="14"/>
    </row>
    <row r="108" ht="15.75" customHeight="1">
      <c r="A108" s="15"/>
      <c r="B108" s="15"/>
      <c r="C108" s="15"/>
      <c r="D108" s="15"/>
      <c r="E108" s="15"/>
      <c r="F108" s="15"/>
      <c r="G108" s="3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4"/>
      <c r="AA108" s="14"/>
      <c r="AB108" s="14"/>
    </row>
    <row r="109" ht="15.75" customHeight="1">
      <c r="A109" s="15"/>
      <c r="B109" s="15"/>
      <c r="C109" s="15"/>
      <c r="D109" s="15"/>
      <c r="E109" s="15"/>
      <c r="F109" s="15"/>
      <c r="G109" s="3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4"/>
      <c r="AA109" s="14"/>
      <c r="AB109" s="14"/>
    </row>
    <row r="110" ht="15.75" customHeight="1">
      <c r="A110" s="15"/>
      <c r="B110" s="15"/>
      <c r="C110" s="15"/>
      <c r="D110" s="15"/>
      <c r="E110" s="15"/>
      <c r="F110" s="15"/>
      <c r="G110" s="3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4"/>
      <c r="AA110" s="14"/>
      <c r="AB110" s="14"/>
    </row>
    <row r="111" ht="15.75" customHeight="1">
      <c r="A111" s="15"/>
      <c r="B111" s="15"/>
      <c r="C111" s="15"/>
      <c r="D111" s="15"/>
      <c r="E111" s="15"/>
      <c r="F111" s="15"/>
      <c r="G111" s="3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4"/>
      <c r="AA111" s="14"/>
      <c r="AB111" s="14"/>
    </row>
    <row r="112" ht="15.75" customHeight="1">
      <c r="A112" s="15"/>
      <c r="B112" s="15"/>
      <c r="C112" s="15"/>
      <c r="D112" s="15"/>
      <c r="E112" s="15"/>
      <c r="F112" s="15"/>
      <c r="G112" s="3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4"/>
      <c r="AA112" s="14"/>
      <c r="AB112" s="14"/>
    </row>
    <row r="113" ht="15.75" customHeight="1">
      <c r="A113" s="15"/>
      <c r="B113" s="15"/>
      <c r="C113" s="15"/>
      <c r="D113" s="15"/>
      <c r="E113" s="15"/>
      <c r="F113" s="15"/>
      <c r="G113" s="3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4"/>
      <c r="AA113" s="14"/>
      <c r="AB113" s="14"/>
    </row>
    <row r="114" ht="15.75" customHeight="1">
      <c r="A114" s="15"/>
      <c r="B114" s="15"/>
      <c r="C114" s="15"/>
      <c r="D114" s="15"/>
      <c r="E114" s="15"/>
      <c r="F114" s="15"/>
      <c r="G114" s="3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4"/>
      <c r="AA114" s="14"/>
      <c r="AB114" s="14"/>
    </row>
    <row r="115" ht="15.75" customHeight="1">
      <c r="A115" s="15"/>
      <c r="B115" s="15"/>
      <c r="C115" s="15"/>
      <c r="D115" s="15"/>
      <c r="E115" s="15"/>
      <c r="F115" s="15"/>
      <c r="G115" s="3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4"/>
      <c r="AA115" s="14"/>
      <c r="AB115" s="14"/>
    </row>
    <row r="116" ht="15.75" customHeight="1">
      <c r="A116" s="15"/>
      <c r="B116" s="15"/>
      <c r="C116" s="15"/>
      <c r="D116" s="15"/>
      <c r="E116" s="15"/>
      <c r="F116" s="15"/>
      <c r="G116" s="3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4"/>
      <c r="AA116" s="14"/>
      <c r="AB116" s="14"/>
    </row>
    <row r="117" ht="15.75" customHeight="1">
      <c r="A117" s="15"/>
      <c r="B117" s="15"/>
      <c r="C117" s="15"/>
      <c r="D117" s="15"/>
      <c r="E117" s="15"/>
      <c r="F117" s="15"/>
      <c r="G117" s="3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4"/>
      <c r="AA117" s="14"/>
      <c r="AB117" s="14"/>
    </row>
    <row r="118" ht="15.75" customHeight="1">
      <c r="A118" s="15"/>
      <c r="B118" s="15"/>
      <c r="C118" s="15"/>
      <c r="D118" s="15"/>
      <c r="E118" s="15"/>
      <c r="F118" s="15"/>
      <c r="G118" s="3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4"/>
      <c r="AA118" s="14"/>
      <c r="AB118" s="14"/>
    </row>
    <row r="119" ht="15.75" customHeight="1">
      <c r="A119" s="15"/>
      <c r="B119" s="15"/>
      <c r="C119" s="15"/>
      <c r="D119" s="15"/>
      <c r="E119" s="15"/>
      <c r="F119" s="15"/>
      <c r="G119" s="3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4"/>
      <c r="AA119" s="14"/>
      <c r="AB119" s="14"/>
    </row>
    <row r="120" ht="15.75" customHeight="1">
      <c r="A120" s="15"/>
      <c r="B120" s="15"/>
      <c r="C120" s="15"/>
      <c r="D120" s="15"/>
      <c r="E120" s="15"/>
      <c r="F120" s="15"/>
      <c r="G120" s="3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4"/>
      <c r="AA120" s="14"/>
      <c r="AB120" s="14"/>
    </row>
    <row r="121" ht="15.75" customHeight="1">
      <c r="A121" s="15"/>
      <c r="B121" s="15"/>
      <c r="C121" s="15"/>
      <c r="D121" s="15"/>
      <c r="E121" s="15"/>
      <c r="F121" s="15"/>
      <c r="G121" s="3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4"/>
      <c r="AA121" s="14"/>
      <c r="AB121" s="14"/>
    </row>
    <row r="122" ht="15.75" customHeight="1">
      <c r="A122" s="15"/>
      <c r="B122" s="15"/>
      <c r="C122" s="15"/>
      <c r="D122" s="15"/>
      <c r="E122" s="15"/>
      <c r="F122" s="15"/>
      <c r="G122" s="3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4"/>
      <c r="AA122" s="14"/>
      <c r="AB122" s="14"/>
    </row>
    <row r="123" ht="15.75" customHeight="1">
      <c r="A123" s="15"/>
      <c r="B123" s="15"/>
      <c r="C123" s="15"/>
      <c r="D123" s="15"/>
      <c r="E123" s="15"/>
      <c r="F123" s="15"/>
      <c r="G123" s="3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4"/>
      <c r="AA123" s="14"/>
      <c r="AB123" s="14"/>
    </row>
    <row r="124" ht="15.75" customHeight="1">
      <c r="A124" s="15"/>
      <c r="B124" s="15"/>
      <c r="C124" s="15"/>
      <c r="D124" s="15"/>
      <c r="E124" s="15"/>
      <c r="F124" s="15"/>
      <c r="G124" s="3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4"/>
      <c r="AA124" s="14"/>
      <c r="AB124" s="14"/>
    </row>
    <row r="125" ht="15.75" customHeight="1">
      <c r="A125" s="15"/>
      <c r="B125" s="15"/>
      <c r="C125" s="15"/>
      <c r="D125" s="15"/>
      <c r="E125" s="15"/>
      <c r="F125" s="15"/>
      <c r="G125" s="3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4"/>
      <c r="AA125" s="14"/>
      <c r="AB125" s="14"/>
    </row>
    <row r="126" ht="15.75" customHeight="1">
      <c r="A126" s="15"/>
      <c r="B126" s="15"/>
      <c r="C126" s="15"/>
      <c r="D126" s="15"/>
      <c r="E126" s="15"/>
      <c r="F126" s="15"/>
      <c r="G126" s="3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4"/>
      <c r="AA126" s="14"/>
      <c r="AB126" s="14"/>
    </row>
    <row r="127" ht="15.75" customHeight="1">
      <c r="A127" s="15"/>
      <c r="B127" s="15"/>
      <c r="C127" s="15"/>
      <c r="D127" s="15"/>
      <c r="E127" s="15"/>
      <c r="F127" s="15"/>
      <c r="G127" s="3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4"/>
      <c r="AA127" s="14"/>
      <c r="AB127" s="14"/>
    </row>
    <row r="128" ht="15.75" customHeight="1">
      <c r="A128" s="15"/>
      <c r="B128" s="15"/>
      <c r="C128" s="15"/>
      <c r="D128" s="15"/>
      <c r="E128" s="15"/>
      <c r="F128" s="15"/>
      <c r="G128" s="3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4"/>
      <c r="AA128" s="14"/>
      <c r="AB128" s="14"/>
    </row>
    <row r="129" ht="15.75" customHeight="1">
      <c r="A129" s="15"/>
      <c r="B129" s="15"/>
      <c r="C129" s="15"/>
      <c r="D129" s="15"/>
      <c r="E129" s="15"/>
      <c r="F129" s="15"/>
      <c r="G129" s="3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4"/>
      <c r="AA129" s="14"/>
      <c r="AB129" s="14"/>
    </row>
    <row r="130" ht="15.75" customHeight="1">
      <c r="A130" s="15"/>
      <c r="B130" s="15"/>
      <c r="C130" s="15"/>
      <c r="D130" s="15"/>
      <c r="E130" s="15"/>
      <c r="F130" s="15"/>
      <c r="G130" s="3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4"/>
      <c r="AA130" s="14"/>
      <c r="AB130" s="14"/>
    </row>
    <row r="131" ht="15.75" customHeight="1">
      <c r="A131" s="15"/>
      <c r="B131" s="15"/>
      <c r="C131" s="15"/>
      <c r="D131" s="15"/>
      <c r="E131" s="15"/>
      <c r="F131" s="15"/>
      <c r="G131" s="3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4"/>
      <c r="AA131" s="14"/>
      <c r="AB131" s="14"/>
    </row>
    <row r="132" ht="15.75" customHeight="1">
      <c r="A132" s="15"/>
      <c r="B132" s="15"/>
      <c r="C132" s="15"/>
      <c r="D132" s="15"/>
      <c r="E132" s="15"/>
      <c r="F132" s="15"/>
      <c r="G132" s="3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4"/>
      <c r="AA132" s="14"/>
      <c r="AB132" s="14"/>
    </row>
    <row r="133" ht="15.75" customHeight="1">
      <c r="A133" s="15"/>
      <c r="B133" s="15"/>
      <c r="C133" s="15"/>
      <c r="D133" s="15"/>
      <c r="E133" s="15"/>
      <c r="F133" s="15"/>
      <c r="G133" s="3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4"/>
      <c r="AA133" s="14"/>
      <c r="AB133" s="14"/>
    </row>
    <row r="134" ht="15.75" customHeight="1">
      <c r="A134" s="15"/>
      <c r="B134" s="15"/>
      <c r="C134" s="15"/>
      <c r="D134" s="15"/>
      <c r="E134" s="15"/>
      <c r="F134" s="15"/>
      <c r="G134" s="3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4"/>
      <c r="AA134" s="14"/>
      <c r="AB134" s="14"/>
    </row>
    <row r="135" ht="15.75" customHeight="1">
      <c r="A135" s="15"/>
      <c r="B135" s="15"/>
      <c r="C135" s="15"/>
      <c r="D135" s="15"/>
      <c r="E135" s="15"/>
      <c r="F135" s="15"/>
      <c r="G135" s="3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4"/>
      <c r="AA135" s="14"/>
      <c r="AB135" s="14"/>
    </row>
    <row r="136" ht="15.75" customHeight="1">
      <c r="A136" s="15"/>
      <c r="B136" s="15"/>
      <c r="C136" s="15"/>
      <c r="D136" s="15"/>
      <c r="E136" s="15"/>
      <c r="F136" s="15"/>
      <c r="G136" s="3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4"/>
      <c r="AA136" s="14"/>
      <c r="AB136" s="14"/>
    </row>
    <row r="137" ht="15.75" customHeight="1">
      <c r="A137" s="15"/>
      <c r="B137" s="15"/>
      <c r="C137" s="15"/>
      <c r="D137" s="15"/>
      <c r="E137" s="15"/>
      <c r="F137" s="15"/>
      <c r="G137" s="3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4"/>
      <c r="AA137" s="14"/>
      <c r="AB137" s="14"/>
    </row>
    <row r="138" ht="15.75" customHeight="1">
      <c r="A138" s="15"/>
      <c r="B138" s="15"/>
      <c r="C138" s="15"/>
      <c r="D138" s="15"/>
      <c r="E138" s="15"/>
      <c r="F138" s="15"/>
      <c r="G138" s="3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4"/>
      <c r="AA138" s="14"/>
      <c r="AB138" s="14"/>
    </row>
    <row r="139" ht="15.75" customHeight="1">
      <c r="A139" s="15"/>
      <c r="B139" s="15"/>
      <c r="C139" s="15"/>
      <c r="D139" s="15"/>
      <c r="E139" s="15"/>
      <c r="F139" s="15"/>
      <c r="G139" s="3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4"/>
      <c r="AA139" s="14"/>
      <c r="AB139" s="14"/>
    </row>
    <row r="140" ht="15.75" customHeight="1">
      <c r="A140" s="15"/>
      <c r="B140" s="15"/>
      <c r="C140" s="15"/>
      <c r="D140" s="15"/>
      <c r="E140" s="15"/>
      <c r="F140" s="15"/>
      <c r="G140" s="3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4"/>
      <c r="AA140" s="14"/>
      <c r="AB140" s="14"/>
    </row>
    <row r="141" ht="15.75" customHeight="1">
      <c r="A141" s="15"/>
      <c r="B141" s="15"/>
      <c r="C141" s="15"/>
      <c r="D141" s="15"/>
      <c r="E141" s="15"/>
      <c r="F141" s="15"/>
      <c r="G141" s="3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4"/>
      <c r="AA141" s="14"/>
      <c r="AB141" s="14"/>
    </row>
    <row r="142" ht="15.75" customHeight="1">
      <c r="A142" s="15"/>
      <c r="B142" s="15"/>
      <c r="C142" s="15"/>
      <c r="D142" s="15"/>
      <c r="E142" s="15"/>
      <c r="F142" s="15"/>
      <c r="G142" s="3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4"/>
      <c r="AA142" s="14"/>
      <c r="AB142" s="14"/>
    </row>
    <row r="143" ht="15.75" customHeight="1">
      <c r="A143" s="15"/>
      <c r="B143" s="15"/>
      <c r="C143" s="15"/>
      <c r="D143" s="15"/>
      <c r="E143" s="15"/>
      <c r="F143" s="15"/>
      <c r="G143" s="3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4"/>
      <c r="AA143" s="14"/>
      <c r="AB143" s="14"/>
    </row>
    <row r="144" ht="15.75" customHeight="1">
      <c r="A144" s="15"/>
      <c r="B144" s="15"/>
      <c r="C144" s="15"/>
      <c r="D144" s="15"/>
      <c r="E144" s="15"/>
      <c r="F144" s="15"/>
      <c r="G144" s="3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4"/>
      <c r="AA144" s="14"/>
      <c r="AB144" s="14"/>
    </row>
    <row r="145" ht="15.75" customHeight="1">
      <c r="A145" s="15"/>
      <c r="B145" s="15"/>
      <c r="C145" s="15"/>
      <c r="D145" s="15"/>
      <c r="E145" s="15"/>
      <c r="F145" s="15"/>
      <c r="G145" s="3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4"/>
      <c r="AA145" s="14"/>
      <c r="AB145" s="14"/>
    </row>
    <row r="146" ht="15.75" customHeight="1">
      <c r="A146" s="15"/>
      <c r="B146" s="15"/>
      <c r="C146" s="15"/>
      <c r="D146" s="15"/>
      <c r="E146" s="15"/>
      <c r="F146" s="15"/>
      <c r="G146" s="3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4"/>
      <c r="AA146" s="14"/>
      <c r="AB146" s="14"/>
    </row>
    <row r="147" ht="15.75" customHeight="1">
      <c r="A147" s="15"/>
      <c r="B147" s="15"/>
      <c r="C147" s="15"/>
      <c r="D147" s="15"/>
      <c r="E147" s="15"/>
      <c r="F147" s="15"/>
      <c r="G147" s="3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4"/>
      <c r="AA147" s="14"/>
      <c r="AB147" s="14"/>
    </row>
    <row r="148" ht="15.75" customHeight="1">
      <c r="A148" s="15"/>
      <c r="B148" s="15"/>
      <c r="C148" s="15"/>
      <c r="D148" s="15"/>
      <c r="E148" s="15"/>
      <c r="F148" s="15"/>
      <c r="G148" s="3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4"/>
      <c r="AA148" s="14"/>
      <c r="AB148" s="14"/>
    </row>
    <row r="149" ht="15.75" customHeight="1">
      <c r="A149" s="15"/>
      <c r="B149" s="15"/>
      <c r="C149" s="15"/>
      <c r="D149" s="15"/>
      <c r="E149" s="15"/>
      <c r="F149" s="15"/>
      <c r="G149" s="3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4"/>
      <c r="AA149" s="14"/>
      <c r="AB149" s="14"/>
    </row>
    <row r="150" ht="15.75" customHeight="1">
      <c r="A150" s="15"/>
      <c r="B150" s="15"/>
      <c r="C150" s="15"/>
      <c r="D150" s="15"/>
      <c r="E150" s="15"/>
      <c r="F150" s="15"/>
      <c r="G150" s="3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4"/>
      <c r="AA150" s="14"/>
      <c r="AB150" s="14"/>
    </row>
    <row r="151" ht="15.75" customHeight="1">
      <c r="A151" s="15"/>
      <c r="B151" s="15"/>
      <c r="C151" s="15"/>
      <c r="D151" s="15"/>
      <c r="E151" s="15"/>
      <c r="F151" s="15"/>
      <c r="G151" s="3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4"/>
      <c r="AA151" s="14"/>
      <c r="AB151" s="14"/>
    </row>
    <row r="152" ht="15.75" customHeight="1">
      <c r="A152" s="15"/>
      <c r="B152" s="15"/>
      <c r="C152" s="15"/>
      <c r="D152" s="15"/>
      <c r="E152" s="15"/>
      <c r="F152" s="15"/>
      <c r="G152" s="3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4"/>
      <c r="AA152" s="14"/>
      <c r="AB152" s="14"/>
    </row>
    <row r="153" ht="15.75" customHeight="1">
      <c r="A153" s="15"/>
      <c r="B153" s="15"/>
      <c r="C153" s="15"/>
      <c r="D153" s="15"/>
      <c r="E153" s="15"/>
      <c r="F153" s="15"/>
      <c r="G153" s="3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4"/>
      <c r="AA153" s="14"/>
      <c r="AB153" s="14"/>
    </row>
    <row r="154" ht="15.75" customHeight="1">
      <c r="A154" s="15"/>
      <c r="B154" s="15"/>
      <c r="C154" s="15"/>
      <c r="D154" s="15"/>
      <c r="E154" s="15"/>
      <c r="F154" s="15"/>
      <c r="G154" s="3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4"/>
      <c r="AA154" s="14"/>
      <c r="AB154" s="14"/>
    </row>
    <row r="155" ht="15.75" customHeight="1">
      <c r="A155" s="15"/>
      <c r="B155" s="15"/>
      <c r="C155" s="15"/>
      <c r="D155" s="15"/>
      <c r="E155" s="15"/>
      <c r="F155" s="15"/>
      <c r="G155" s="3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4"/>
      <c r="AA155" s="14"/>
      <c r="AB155" s="14"/>
    </row>
    <row r="156" ht="15.75" customHeight="1">
      <c r="A156" s="15"/>
      <c r="B156" s="15"/>
      <c r="C156" s="15"/>
      <c r="D156" s="15"/>
      <c r="E156" s="15"/>
      <c r="F156" s="15"/>
      <c r="G156" s="3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4"/>
      <c r="AA156" s="14"/>
      <c r="AB156" s="14"/>
    </row>
    <row r="157" ht="15.75" customHeight="1">
      <c r="A157" s="15"/>
      <c r="B157" s="15"/>
      <c r="C157" s="15"/>
      <c r="D157" s="15"/>
      <c r="E157" s="15"/>
      <c r="F157" s="15"/>
      <c r="G157" s="3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4"/>
      <c r="AA157" s="14"/>
      <c r="AB157" s="14"/>
    </row>
    <row r="158" ht="15.75" customHeight="1">
      <c r="A158" s="15"/>
      <c r="B158" s="15"/>
      <c r="C158" s="15"/>
      <c r="D158" s="15"/>
      <c r="E158" s="15"/>
      <c r="F158" s="15"/>
      <c r="G158" s="3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4"/>
      <c r="AA158" s="14"/>
      <c r="AB158" s="14"/>
    </row>
    <row r="159" ht="15.75" customHeight="1">
      <c r="A159" s="15"/>
      <c r="B159" s="15"/>
      <c r="C159" s="15"/>
      <c r="D159" s="15"/>
      <c r="E159" s="15"/>
      <c r="F159" s="15"/>
      <c r="G159" s="3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4"/>
      <c r="AA159" s="14"/>
      <c r="AB159" s="14"/>
    </row>
    <row r="160" ht="15.75" customHeight="1">
      <c r="A160" s="15"/>
      <c r="B160" s="15"/>
      <c r="C160" s="15"/>
      <c r="D160" s="15"/>
      <c r="E160" s="15"/>
      <c r="F160" s="15"/>
      <c r="G160" s="3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4"/>
      <c r="AA160" s="14"/>
      <c r="AB160" s="14"/>
    </row>
    <row r="161" ht="15.75" customHeight="1">
      <c r="A161" s="15"/>
      <c r="B161" s="15"/>
      <c r="C161" s="15"/>
      <c r="D161" s="15"/>
      <c r="E161" s="15"/>
      <c r="F161" s="15"/>
      <c r="G161" s="3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4"/>
      <c r="AA161" s="14"/>
      <c r="AB161" s="14"/>
    </row>
    <row r="162" ht="15.75" customHeight="1">
      <c r="A162" s="15"/>
      <c r="B162" s="15"/>
      <c r="C162" s="15"/>
      <c r="D162" s="15"/>
      <c r="E162" s="15"/>
      <c r="F162" s="15"/>
      <c r="G162" s="3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4"/>
      <c r="AA162" s="14"/>
      <c r="AB162" s="14"/>
    </row>
    <row r="163" ht="15.75" customHeight="1">
      <c r="A163" s="15"/>
      <c r="B163" s="15"/>
      <c r="C163" s="15"/>
      <c r="D163" s="15"/>
      <c r="E163" s="15"/>
      <c r="F163" s="15"/>
      <c r="G163" s="3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4"/>
      <c r="AA163" s="14"/>
      <c r="AB163" s="14"/>
    </row>
    <row r="164" ht="15.75" customHeight="1">
      <c r="A164" s="15"/>
      <c r="B164" s="15"/>
      <c r="C164" s="15"/>
      <c r="D164" s="15"/>
      <c r="E164" s="15"/>
      <c r="F164" s="15"/>
      <c r="G164" s="3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4"/>
      <c r="AA164" s="14"/>
      <c r="AB164" s="14"/>
    </row>
    <row r="165" ht="15.75" customHeight="1">
      <c r="A165" s="15"/>
      <c r="B165" s="15"/>
      <c r="C165" s="15"/>
      <c r="D165" s="15"/>
      <c r="E165" s="15"/>
      <c r="F165" s="15"/>
      <c r="G165" s="3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4"/>
      <c r="AA165" s="14"/>
      <c r="AB165" s="14"/>
    </row>
    <row r="166" ht="15.75" customHeight="1">
      <c r="A166" s="15"/>
      <c r="B166" s="15"/>
      <c r="C166" s="15"/>
      <c r="D166" s="15"/>
      <c r="E166" s="15"/>
      <c r="F166" s="15"/>
      <c r="G166" s="3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4"/>
      <c r="AA166" s="14"/>
      <c r="AB166" s="14"/>
    </row>
    <row r="167" ht="15.75" customHeight="1">
      <c r="A167" s="15"/>
      <c r="B167" s="15"/>
      <c r="C167" s="15"/>
      <c r="D167" s="15"/>
      <c r="E167" s="15"/>
      <c r="F167" s="15"/>
      <c r="G167" s="3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4"/>
      <c r="AA167" s="14"/>
      <c r="AB167" s="14"/>
    </row>
    <row r="168" ht="15.75" customHeight="1">
      <c r="A168" s="15"/>
      <c r="B168" s="15"/>
      <c r="C168" s="15"/>
      <c r="D168" s="15"/>
      <c r="E168" s="15"/>
      <c r="F168" s="15"/>
      <c r="G168" s="3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4"/>
      <c r="AA168" s="14"/>
      <c r="AB168" s="14"/>
    </row>
    <row r="169" ht="15.75" customHeight="1">
      <c r="A169" s="15"/>
      <c r="B169" s="15"/>
      <c r="C169" s="15"/>
      <c r="D169" s="15"/>
      <c r="E169" s="15"/>
      <c r="F169" s="15"/>
      <c r="G169" s="3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4"/>
      <c r="AA169" s="14"/>
      <c r="AB169" s="14"/>
    </row>
    <row r="170" ht="15.75" customHeight="1">
      <c r="A170" s="15"/>
      <c r="B170" s="15"/>
      <c r="C170" s="15"/>
      <c r="D170" s="15"/>
      <c r="E170" s="15"/>
      <c r="F170" s="15"/>
      <c r="G170" s="3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4"/>
      <c r="AA170" s="14"/>
      <c r="AB170" s="14"/>
    </row>
    <row r="171" ht="15.75" customHeight="1">
      <c r="A171" s="15"/>
      <c r="B171" s="15"/>
      <c r="C171" s="15"/>
      <c r="D171" s="15"/>
      <c r="E171" s="15"/>
      <c r="F171" s="15"/>
      <c r="G171" s="3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4"/>
      <c r="AA171" s="14"/>
      <c r="AB171" s="14"/>
    </row>
    <row r="172" ht="15.75" customHeight="1">
      <c r="A172" s="15"/>
      <c r="B172" s="15"/>
      <c r="C172" s="15"/>
      <c r="D172" s="15"/>
      <c r="E172" s="15"/>
      <c r="F172" s="15"/>
      <c r="G172" s="3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4"/>
      <c r="AA172" s="14"/>
      <c r="AB172" s="14"/>
    </row>
    <row r="173" ht="15.75" customHeight="1">
      <c r="A173" s="15"/>
      <c r="B173" s="15"/>
      <c r="C173" s="15"/>
      <c r="D173" s="15"/>
      <c r="E173" s="15"/>
      <c r="F173" s="15"/>
      <c r="G173" s="3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4"/>
      <c r="AA173" s="14"/>
      <c r="AB173" s="14"/>
    </row>
    <row r="174" ht="15.75" customHeight="1">
      <c r="A174" s="15"/>
      <c r="B174" s="15"/>
      <c r="C174" s="15"/>
      <c r="D174" s="15"/>
      <c r="E174" s="15"/>
      <c r="F174" s="15"/>
      <c r="G174" s="3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4"/>
      <c r="AA174" s="14"/>
      <c r="AB174" s="14"/>
    </row>
    <row r="175" ht="15.75" customHeight="1">
      <c r="A175" s="15"/>
      <c r="B175" s="15"/>
      <c r="C175" s="15"/>
      <c r="D175" s="15"/>
      <c r="E175" s="15"/>
      <c r="F175" s="15"/>
      <c r="G175" s="3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4"/>
      <c r="AA175" s="14"/>
      <c r="AB175" s="14"/>
    </row>
    <row r="176" ht="15.75" customHeight="1">
      <c r="A176" s="15"/>
      <c r="B176" s="15"/>
      <c r="C176" s="15"/>
      <c r="D176" s="15"/>
      <c r="E176" s="15"/>
      <c r="F176" s="15"/>
      <c r="G176" s="3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4"/>
      <c r="AA176" s="14"/>
      <c r="AB176" s="14"/>
    </row>
    <row r="177" ht="15.75" customHeight="1">
      <c r="A177" s="15"/>
      <c r="B177" s="15"/>
      <c r="C177" s="15"/>
      <c r="D177" s="15"/>
      <c r="E177" s="15"/>
      <c r="F177" s="15"/>
      <c r="G177" s="3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4"/>
      <c r="AA177" s="14"/>
      <c r="AB177" s="14"/>
    </row>
    <row r="178" ht="15.75" customHeight="1">
      <c r="A178" s="15"/>
      <c r="B178" s="15"/>
      <c r="C178" s="15"/>
      <c r="D178" s="15"/>
      <c r="E178" s="15"/>
      <c r="F178" s="15"/>
      <c r="G178" s="3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4"/>
      <c r="AA178" s="14"/>
      <c r="AB178" s="14"/>
    </row>
    <row r="179" ht="15.75" customHeight="1">
      <c r="A179" s="15"/>
      <c r="B179" s="15"/>
      <c r="C179" s="15"/>
      <c r="D179" s="15"/>
      <c r="E179" s="15"/>
      <c r="F179" s="15"/>
      <c r="G179" s="3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4"/>
      <c r="AA179" s="14"/>
      <c r="AB179" s="14"/>
    </row>
    <row r="180" ht="15.75" customHeight="1">
      <c r="A180" s="15"/>
      <c r="B180" s="15"/>
      <c r="C180" s="15"/>
      <c r="D180" s="15"/>
      <c r="E180" s="15"/>
      <c r="F180" s="15"/>
      <c r="G180" s="3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4"/>
      <c r="AA180" s="14"/>
      <c r="AB180" s="14"/>
    </row>
    <row r="181" ht="15.75" customHeight="1">
      <c r="A181" s="15"/>
      <c r="B181" s="15"/>
      <c r="C181" s="15"/>
      <c r="D181" s="15"/>
      <c r="E181" s="15"/>
      <c r="F181" s="15"/>
      <c r="G181" s="3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4"/>
      <c r="AA181" s="14"/>
      <c r="AB181" s="14"/>
    </row>
    <row r="182" ht="15.75" customHeight="1">
      <c r="A182" s="15"/>
      <c r="B182" s="15"/>
      <c r="C182" s="15"/>
      <c r="D182" s="15"/>
      <c r="E182" s="15"/>
      <c r="F182" s="15"/>
      <c r="G182" s="3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4"/>
      <c r="AA182" s="14"/>
      <c r="AB182" s="14"/>
    </row>
    <row r="183" ht="15.75" customHeight="1">
      <c r="A183" s="15"/>
      <c r="B183" s="15"/>
      <c r="C183" s="15"/>
      <c r="D183" s="15"/>
      <c r="E183" s="15"/>
      <c r="F183" s="15"/>
      <c r="G183" s="3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4"/>
      <c r="AA183" s="14"/>
      <c r="AB183" s="14"/>
    </row>
    <row r="184" ht="15.75" customHeight="1">
      <c r="A184" s="15"/>
      <c r="B184" s="15"/>
      <c r="C184" s="15"/>
      <c r="D184" s="15"/>
      <c r="E184" s="15"/>
      <c r="F184" s="15"/>
      <c r="G184" s="3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4"/>
      <c r="AA184" s="14"/>
      <c r="AB184" s="14"/>
    </row>
    <row r="185" ht="15.75" customHeight="1">
      <c r="A185" s="15"/>
      <c r="B185" s="15"/>
      <c r="C185" s="15"/>
      <c r="D185" s="15"/>
      <c r="E185" s="15"/>
      <c r="F185" s="15"/>
      <c r="G185" s="3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4"/>
      <c r="AA185" s="14"/>
      <c r="AB185" s="14"/>
    </row>
    <row r="186" ht="15.75" customHeight="1">
      <c r="A186" s="15"/>
      <c r="B186" s="15"/>
      <c r="C186" s="15"/>
      <c r="D186" s="15"/>
      <c r="E186" s="15"/>
      <c r="F186" s="15"/>
      <c r="G186" s="3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4"/>
      <c r="AA186" s="14"/>
      <c r="AB186" s="14"/>
    </row>
    <row r="187" ht="15.75" customHeight="1">
      <c r="A187" s="15"/>
      <c r="B187" s="15"/>
      <c r="C187" s="15"/>
      <c r="D187" s="15"/>
      <c r="E187" s="15"/>
      <c r="F187" s="15"/>
      <c r="G187" s="3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4"/>
      <c r="AA187" s="14"/>
      <c r="AB187" s="14"/>
    </row>
    <row r="188" ht="15.75" customHeight="1">
      <c r="A188" s="15"/>
      <c r="B188" s="15"/>
      <c r="C188" s="15"/>
      <c r="D188" s="15"/>
      <c r="E188" s="15"/>
      <c r="F188" s="15"/>
      <c r="G188" s="3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4"/>
      <c r="AA188" s="14"/>
      <c r="AB188" s="14"/>
    </row>
    <row r="189" ht="15.75" customHeight="1">
      <c r="A189" s="15"/>
      <c r="B189" s="15"/>
      <c r="C189" s="15"/>
      <c r="D189" s="15"/>
      <c r="E189" s="15"/>
      <c r="F189" s="15"/>
      <c r="G189" s="3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4"/>
      <c r="AA189" s="14"/>
      <c r="AB189" s="14"/>
    </row>
    <row r="190" ht="15.75" customHeight="1">
      <c r="A190" s="15"/>
      <c r="B190" s="15"/>
      <c r="C190" s="15"/>
      <c r="D190" s="15"/>
      <c r="E190" s="15"/>
      <c r="F190" s="15"/>
      <c r="G190" s="3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4"/>
      <c r="AA190" s="14"/>
      <c r="AB190" s="14"/>
    </row>
    <row r="191" ht="15.75" customHeight="1">
      <c r="A191" s="15"/>
      <c r="B191" s="15"/>
      <c r="C191" s="15"/>
      <c r="D191" s="15"/>
      <c r="E191" s="15"/>
      <c r="F191" s="15"/>
      <c r="G191" s="3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4"/>
      <c r="AA191" s="14"/>
      <c r="AB191" s="14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G2"/>
    <mergeCell ref="B3:G3"/>
    <mergeCell ref="B4:G4"/>
    <mergeCell ref="B5:G5"/>
    <mergeCell ref="A10:I10"/>
    <mergeCell ref="A11:I11"/>
  </mergeCells>
  <conditionalFormatting sqref="F14:F65">
    <cfRule type="cellIs" dxfId="0" priority="1" operator="equal">
      <formula>"Pass"</formula>
    </cfRule>
  </conditionalFormatting>
  <conditionalFormatting sqref="F14:F65">
    <cfRule type="cellIs" dxfId="1" priority="2" operator="equal">
      <formula>"Fail"</formula>
    </cfRule>
  </conditionalFormatting>
  <conditionalFormatting sqref="F14:F65">
    <cfRule type="cellIs" dxfId="2" priority="3" operator="equal">
      <formula>"Pending"</formula>
    </cfRule>
  </conditionalFormatting>
  <dataValidations>
    <dataValidation type="list" allowBlank="1" sqref="F14:F15 F18:F19 F21:F22 F24 F26:F27 F29 F32 F34:F35 F38 F40 F43 F46:F47 F49:F50 F54:F55 F57:F59 F61 F65">
      <formula1>$I$2:$I$7</formula1>
    </dataValidation>
    <dataValidation type="list" allowBlank="1" sqref="F16:F17 F20 F23 F25 F28 F30:F31 F33 F36:F37 F39 F41:F42 F44:F45 F48 F51:F53 F56 F60 F62:F64">
      <formula1>$I$2:$I$7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6.88"/>
    <col customWidth="1" min="3" max="4" width="41.25"/>
    <col customWidth="1" min="5" max="5" width="27.25"/>
    <col customWidth="1" min="6" max="6" width="20.38"/>
    <col customWidth="1" min="7" max="7" width="14.0"/>
    <col customWidth="1" min="8" max="8" width="12.0"/>
    <col customWidth="1" min="9" max="9" width="18.13"/>
  </cols>
  <sheetData>
    <row r="1" ht="15.75" customHeight="1">
      <c r="A1" s="7" t="s">
        <v>1</v>
      </c>
      <c r="B1" s="11"/>
      <c r="C1" s="11"/>
      <c r="D1" s="14"/>
      <c r="E1" s="15"/>
      <c r="F1" s="15"/>
      <c r="G1" s="19"/>
      <c r="H1" s="19"/>
      <c r="I1" s="14"/>
      <c r="J1" s="14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4"/>
      <c r="AB1" s="14"/>
    </row>
    <row r="2" ht="15.75" customHeight="1">
      <c r="A2" s="29" t="s">
        <v>13</v>
      </c>
      <c r="B2" s="32" t="s">
        <v>15</v>
      </c>
      <c r="C2" s="33"/>
      <c r="D2" s="33"/>
      <c r="E2" s="33"/>
      <c r="F2" s="33"/>
      <c r="G2" s="35"/>
      <c r="H2" s="37"/>
      <c r="I2" s="38" t="s">
        <v>18</v>
      </c>
      <c r="J2" s="41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4"/>
      <c r="AB2" s="14"/>
    </row>
    <row r="3" ht="15.75" customHeight="1">
      <c r="A3" s="29" t="s">
        <v>24</v>
      </c>
      <c r="B3" s="32" t="s">
        <v>311</v>
      </c>
      <c r="C3" s="33"/>
      <c r="D3" s="33"/>
      <c r="E3" s="33"/>
      <c r="F3" s="33"/>
      <c r="G3" s="35"/>
      <c r="H3" s="37"/>
      <c r="I3" s="38" t="s">
        <v>30</v>
      </c>
      <c r="J3" s="41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4"/>
      <c r="AB3" s="14"/>
    </row>
    <row r="4" ht="15.75" customHeight="1">
      <c r="A4" s="29" t="s">
        <v>35</v>
      </c>
      <c r="B4" s="45" t="s">
        <v>37</v>
      </c>
      <c r="C4" s="33"/>
      <c r="D4" s="33"/>
      <c r="E4" s="33"/>
      <c r="F4" s="33"/>
      <c r="G4" s="35"/>
      <c r="H4" s="37"/>
      <c r="I4" s="38" t="s">
        <v>41</v>
      </c>
      <c r="J4" s="41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4"/>
      <c r="AB4" s="14"/>
    </row>
    <row r="5" ht="15.75" customHeight="1">
      <c r="A5" s="29" t="s">
        <v>43</v>
      </c>
      <c r="B5" s="32" t="s">
        <v>23</v>
      </c>
      <c r="C5" s="33"/>
      <c r="D5" s="33"/>
      <c r="E5" s="33"/>
      <c r="F5" s="33"/>
      <c r="G5" s="35"/>
      <c r="H5" s="37"/>
      <c r="I5" s="38" t="s">
        <v>47</v>
      </c>
      <c r="J5" s="4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4"/>
      <c r="AB5" s="14"/>
    </row>
    <row r="6" ht="15.75" customHeight="1">
      <c r="A6" s="51" t="s">
        <v>18</v>
      </c>
      <c r="B6" s="53" t="s">
        <v>30</v>
      </c>
      <c r="C6" s="53" t="s">
        <v>47</v>
      </c>
      <c r="D6" s="53" t="s">
        <v>41</v>
      </c>
      <c r="E6" s="57" t="s">
        <v>55</v>
      </c>
      <c r="F6" s="53" t="s">
        <v>59</v>
      </c>
      <c r="G6" s="60"/>
      <c r="H6" s="37"/>
      <c r="I6" s="38" t="s">
        <v>55</v>
      </c>
      <c r="J6" s="4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4"/>
      <c r="AB6" s="14"/>
    </row>
    <row r="7" ht="15.75" customHeight="1">
      <c r="A7" s="68">
        <f>COUNTIF($F$14:$F$55,"Pass")</f>
        <v>26</v>
      </c>
      <c r="B7" s="75">
        <f>COUNTIF($F$14:$F$55,"Fail")</f>
        <v>1</v>
      </c>
      <c r="C7" s="75">
        <f>COUNTIF($F$14:$F$55,"Untested")</f>
        <v>0</v>
      </c>
      <c r="D7" s="75">
        <f>COUNTIF($F$14:$F$55,"Pending")</f>
        <v>0</v>
      </c>
      <c r="E7" s="68">
        <f>COUNTIF($F$14:$F$55,"N/A")</f>
        <v>0</v>
      </c>
      <c r="F7" s="68">
        <f>COUNTIF($A$14:$A$55,"TC_*")</f>
        <v>27</v>
      </c>
      <c r="G7" s="60"/>
      <c r="H7" s="37"/>
      <c r="I7" s="38" t="s">
        <v>100</v>
      </c>
      <c r="J7" s="4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4"/>
      <c r="AB7" s="14"/>
    </row>
    <row r="8" ht="15.75" customHeight="1">
      <c r="A8" s="133"/>
      <c r="B8" s="14"/>
      <c r="C8" s="14"/>
      <c r="D8" s="14"/>
      <c r="E8" s="14"/>
      <c r="F8" s="14"/>
      <c r="G8" s="19"/>
      <c r="H8" s="19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15.75" customHeight="1">
      <c r="A9" s="101" t="s">
        <v>115</v>
      </c>
      <c r="B9" s="101" t="s">
        <v>117</v>
      </c>
      <c r="C9" s="101" t="s">
        <v>118</v>
      </c>
      <c r="D9" s="102" t="s">
        <v>123</v>
      </c>
      <c r="E9" s="101" t="s">
        <v>124</v>
      </c>
      <c r="F9" s="101" t="s">
        <v>125</v>
      </c>
      <c r="G9" s="104" t="s">
        <v>127</v>
      </c>
      <c r="H9" s="104" t="s">
        <v>131</v>
      </c>
      <c r="I9" s="101" t="s">
        <v>8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15.75" customHeight="1">
      <c r="A10" s="106" t="s">
        <v>137</v>
      </c>
      <c r="B10" s="107"/>
      <c r="C10" s="107"/>
      <c r="D10" s="107"/>
      <c r="E10" s="107"/>
      <c r="F10" s="107"/>
      <c r="G10" s="107"/>
      <c r="H10" s="107"/>
      <c r="I10" s="108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15.75" customHeight="1">
      <c r="A11" s="137"/>
      <c r="B11" s="107"/>
      <c r="C11" s="107"/>
      <c r="D11" s="107"/>
      <c r="E11" s="107"/>
      <c r="F11" s="107"/>
      <c r="G11" s="107"/>
      <c r="H11" s="107"/>
      <c r="I11" s="10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5.75" customHeight="1">
      <c r="A12" s="143"/>
      <c r="B12" s="111" t="s">
        <v>161</v>
      </c>
      <c r="C12" s="147"/>
      <c r="D12" s="147"/>
      <c r="E12" s="147"/>
      <c r="F12" s="147"/>
      <c r="G12" s="147"/>
      <c r="H12" s="149"/>
      <c r="I12" s="147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4"/>
      <c r="AA12" s="14"/>
      <c r="AB12" s="14"/>
    </row>
    <row r="13" ht="15.75" customHeight="1">
      <c r="A13" s="143"/>
      <c r="B13" s="116" t="s">
        <v>162</v>
      </c>
      <c r="C13" s="153"/>
      <c r="D13" s="153"/>
      <c r="E13" s="153"/>
      <c r="F13" s="153"/>
      <c r="G13" s="155"/>
      <c r="H13" s="155"/>
      <c r="I13" s="153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4"/>
      <c r="AA13" s="14"/>
      <c r="AB13" s="14"/>
    </row>
    <row r="14" ht="61.5" customHeight="1">
      <c r="A14" s="119" t="s">
        <v>324</v>
      </c>
      <c r="B14" s="119" t="s">
        <v>325</v>
      </c>
      <c r="C14" s="119" t="s">
        <v>326</v>
      </c>
      <c r="D14" s="122" t="s">
        <v>327</v>
      </c>
      <c r="E14" s="158" t="s">
        <v>165</v>
      </c>
      <c r="F14" s="120" t="s">
        <v>18</v>
      </c>
      <c r="G14" s="163">
        <v>46322.0</v>
      </c>
      <c r="H14" s="164" t="s">
        <v>181</v>
      </c>
      <c r="I14" s="110" t="s">
        <v>183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4"/>
      <c r="AA14" s="14"/>
      <c r="AB14" s="14"/>
    </row>
    <row r="15" ht="15.75" customHeight="1">
      <c r="A15" s="143"/>
      <c r="B15" s="116" t="s">
        <v>19</v>
      </c>
      <c r="C15" s="153"/>
      <c r="D15" s="153"/>
      <c r="E15" s="153"/>
      <c r="F15" s="153"/>
      <c r="G15" s="155"/>
      <c r="H15" s="155"/>
      <c r="I15" s="153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4"/>
      <c r="AA15" s="14"/>
      <c r="AB15" s="14"/>
    </row>
    <row r="16" ht="74.25" customHeight="1">
      <c r="A16" s="119" t="s">
        <v>332</v>
      </c>
      <c r="B16" s="119" t="s">
        <v>164</v>
      </c>
      <c r="C16" s="119" t="s">
        <v>333</v>
      </c>
      <c r="D16" s="122" t="s">
        <v>334</v>
      </c>
      <c r="E16" s="158" t="s">
        <v>324</v>
      </c>
      <c r="F16" s="120" t="s">
        <v>18</v>
      </c>
      <c r="G16" s="163">
        <v>46322.0</v>
      </c>
      <c r="H16" s="164" t="s">
        <v>201</v>
      </c>
      <c r="I16" s="110" t="s">
        <v>183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4"/>
      <c r="AA16" s="14"/>
      <c r="AB16" s="14"/>
    </row>
    <row r="17" ht="15.75" customHeight="1">
      <c r="A17" s="143"/>
      <c r="B17" s="111" t="s">
        <v>169</v>
      </c>
      <c r="C17" s="147"/>
      <c r="D17" s="147"/>
      <c r="E17" s="147"/>
      <c r="F17" s="147"/>
      <c r="G17" s="147"/>
      <c r="H17" s="149"/>
      <c r="I17" s="147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4"/>
      <c r="AA17" s="14"/>
      <c r="AB17" s="14"/>
    </row>
    <row r="18" ht="15.75" customHeight="1">
      <c r="A18" s="143"/>
      <c r="B18" s="116" t="s">
        <v>170</v>
      </c>
      <c r="C18" s="153"/>
      <c r="D18" s="153"/>
      <c r="E18" s="153"/>
      <c r="F18" s="153"/>
      <c r="G18" s="155"/>
      <c r="H18" s="155"/>
      <c r="I18" s="153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4"/>
      <c r="AA18" s="14"/>
      <c r="AB18" s="14"/>
    </row>
    <row r="19" ht="72.75" customHeight="1">
      <c r="A19" s="119" t="s">
        <v>345</v>
      </c>
      <c r="B19" s="119" t="s">
        <v>346</v>
      </c>
      <c r="C19" s="119" t="s">
        <v>347</v>
      </c>
      <c r="D19" s="122" t="s">
        <v>348</v>
      </c>
      <c r="E19" s="158" t="s">
        <v>332</v>
      </c>
      <c r="F19" s="120" t="s">
        <v>18</v>
      </c>
      <c r="G19" s="163">
        <v>46322.0</v>
      </c>
      <c r="H19" s="164" t="s">
        <v>181</v>
      </c>
      <c r="I19" s="110" t="s">
        <v>183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4"/>
      <c r="AA19" s="14"/>
      <c r="AB19" s="14"/>
    </row>
    <row r="20" ht="72.75" customHeight="1">
      <c r="A20" s="119" t="s">
        <v>349</v>
      </c>
      <c r="B20" s="119" t="s">
        <v>350</v>
      </c>
      <c r="C20" s="119" t="s">
        <v>353</v>
      </c>
      <c r="D20" s="122" t="s">
        <v>355</v>
      </c>
      <c r="E20" s="158" t="s">
        <v>332</v>
      </c>
      <c r="F20" s="120" t="s">
        <v>18</v>
      </c>
      <c r="G20" s="163">
        <v>46322.0</v>
      </c>
      <c r="H20" s="164" t="s">
        <v>201</v>
      </c>
      <c r="I20" s="110" t="s">
        <v>183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4"/>
      <c r="AA20" s="14"/>
      <c r="AB20" s="14"/>
    </row>
    <row r="21" ht="72.75" customHeight="1">
      <c r="A21" s="119" t="s">
        <v>359</v>
      </c>
      <c r="B21" s="119" t="s">
        <v>361</v>
      </c>
      <c r="C21" s="119" t="s">
        <v>363</v>
      </c>
      <c r="D21" s="122" t="s">
        <v>364</v>
      </c>
      <c r="E21" s="158" t="s">
        <v>332</v>
      </c>
      <c r="F21" s="120" t="s">
        <v>18</v>
      </c>
      <c r="G21" s="163">
        <v>46322.0</v>
      </c>
      <c r="H21" s="164" t="s">
        <v>201</v>
      </c>
      <c r="I21" s="110" t="s">
        <v>183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4"/>
      <c r="AA21" s="14"/>
      <c r="AB21" s="14"/>
    </row>
    <row r="22" ht="15.75" customHeight="1">
      <c r="A22" s="143"/>
      <c r="B22" s="116" t="s">
        <v>126</v>
      </c>
      <c r="C22" s="153"/>
      <c r="D22" s="153"/>
      <c r="E22" s="153"/>
      <c r="F22" s="153"/>
      <c r="G22" s="155"/>
      <c r="H22" s="155"/>
      <c r="I22" s="153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4"/>
      <c r="AA22" s="14"/>
      <c r="AB22" s="14"/>
    </row>
    <row r="23" ht="101.25" customHeight="1">
      <c r="A23" s="119" t="s">
        <v>370</v>
      </c>
      <c r="B23" s="119" t="s">
        <v>371</v>
      </c>
      <c r="C23" s="119" t="s">
        <v>372</v>
      </c>
      <c r="D23" s="122" t="s">
        <v>373</v>
      </c>
      <c r="E23" s="158" t="s">
        <v>332</v>
      </c>
      <c r="F23" s="120" t="s">
        <v>18</v>
      </c>
      <c r="G23" s="163">
        <v>46322.0</v>
      </c>
      <c r="H23" s="164" t="s">
        <v>181</v>
      </c>
      <c r="I23" s="110" t="s">
        <v>231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4"/>
      <c r="AA23" s="14"/>
      <c r="AB23" s="14"/>
    </row>
    <row r="24" ht="101.25" customHeight="1">
      <c r="A24" s="119" t="s">
        <v>374</v>
      </c>
      <c r="B24" s="119" t="s">
        <v>376</v>
      </c>
      <c r="C24" s="119" t="s">
        <v>378</v>
      </c>
      <c r="D24" s="122" t="s">
        <v>380</v>
      </c>
      <c r="E24" s="158" t="s">
        <v>345</v>
      </c>
      <c r="F24" s="120" t="s">
        <v>18</v>
      </c>
      <c r="G24" s="163">
        <v>46322.0</v>
      </c>
      <c r="H24" s="164" t="s">
        <v>181</v>
      </c>
      <c r="I24" s="110" t="s">
        <v>231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4"/>
      <c r="AA24" s="14"/>
      <c r="AB24" s="14"/>
    </row>
    <row r="25" ht="101.25" customHeight="1">
      <c r="A25" s="119" t="s">
        <v>385</v>
      </c>
      <c r="B25" s="119" t="s">
        <v>388</v>
      </c>
      <c r="C25" s="119" t="s">
        <v>389</v>
      </c>
      <c r="D25" s="122" t="s">
        <v>390</v>
      </c>
      <c r="E25" s="158" t="s">
        <v>332</v>
      </c>
      <c r="F25" s="120" t="s">
        <v>18</v>
      </c>
      <c r="G25" s="163">
        <v>46322.0</v>
      </c>
      <c r="H25" s="164" t="s">
        <v>201</v>
      </c>
      <c r="I25" s="110" t="s">
        <v>260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4"/>
      <c r="AA25" s="14"/>
      <c r="AB25" s="14"/>
    </row>
    <row r="26" ht="101.25" customHeight="1">
      <c r="A26" s="119" t="s">
        <v>391</v>
      </c>
      <c r="B26" s="119" t="s">
        <v>392</v>
      </c>
      <c r="C26" s="119" t="s">
        <v>393</v>
      </c>
      <c r="D26" s="122" t="s">
        <v>394</v>
      </c>
      <c r="E26" s="158" t="s">
        <v>332</v>
      </c>
      <c r="F26" s="120" t="s">
        <v>18</v>
      </c>
      <c r="G26" s="163">
        <v>46322.0</v>
      </c>
      <c r="H26" s="164" t="s">
        <v>201</v>
      </c>
      <c r="I26" s="110" t="s">
        <v>260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4"/>
      <c r="AA26" s="14"/>
      <c r="AB26" s="14"/>
    </row>
    <row r="27" ht="101.25" customHeight="1">
      <c r="A27" s="119" t="s">
        <v>400</v>
      </c>
      <c r="B27" s="119" t="s">
        <v>401</v>
      </c>
      <c r="C27" s="119" t="s">
        <v>402</v>
      </c>
      <c r="D27" s="122" t="s">
        <v>403</v>
      </c>
      <c r="E27" s="158" t="s">
        <v>332</v>
      </c>
      <c r="F27" s="120" t="s">
        <v>18</v>
      </c>
      <c r="G27" s="163">
        <v>46322.0</v>
      </c>
      <c r="H27" s="164" t="s">
        <v>206</v>
      </c>
      <c r="I27" s="110" t="s">
        <v>260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4"/>
      <c r="AA27" s="14"/>
      <c r="AB27" s="14"/>
    </row>
    <row r="28" ht="101.25" customHeight="1">
      <c r="A28" s="119" t="s">
        <v>404</v>
      </c>
      <c r="B28" s="119" t="s">
        <v>405</v>
      </c>
      <c r="C28" s="119" t="s">
        <v>406</v>
      </c>
      <c r="D28" s="122" t="s">
        <v>407</v>
      </c>
      <c r="E28" s="158" t="s">
        <v>332</v>
      </c>
      <c r="F28" s="120" t="s">
        <v>18</v>
      </c>
      <c r="G28" s="163">
        <v>46322.0</v>
      </c>
      <c r="H28" s="164" t="s">
        <v>201</v>
      </c>
      <c r="I28" s="110" t="s">
        <v>231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4"/>
      <c r="AA28" s="14"/>
      <c r="AB28" s="14"/>
    </row>
    <row r="29" ht="101.25" customHeight="1">
      <c r="A29" s="119" t="s">
        <v>413</v>
      </c>
      <c r="B29" s="119" t="s">
        <v>414</v>
      </c>
      <c r="C29" s="119" t="s">
        <v>415</v>
      </c>
      <c r="D29" s="122" t="s">
        <v>416</v>
      </c>
      <c r="E29" s="158" t="s">
        <v>332</v>
      </c>
      <c r="F29" s="120" t="s">
        <v>18</v>
      </c>
      <c r="G29" s="163">
        <v>46322.0</v>
      </c>
      <c r="H29" s="164" t="s">
        <v>201</v>
      </c>
      <c r="I29" s="110" t="s">
        <v>231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4"/>
      <c r="AA29" s="14"/>
      <c r="AB29" s="14"/>
    </row>
    <row r="30" ht="15.75" customHeight="1">
      <c r="A30" s="143"/>
      <c r="B30" s="116" t="s">
        <v>26</v>
      </c>
      <c r="C30" s="153"/>
      <c r="D30" s="153"/>
      <c r="E30" s="153"/>
      <c r="F30" s="153"/>
      <c r="G30" s="155"/>
      <c r="H30" s="155"/>
      <c r="I30" s="153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4"/>
      <c r="AA30" s="14"/>
      <c r="AB30" s="14"/>
    </row>
    <row r="31" ht="65.25" customHeight="1">
      <c r="A31" s="119" t="s">
        <v>422</v>
      </c>
      <c r="B31" s="119" t="s">
        <v>423</v>
      </c>
      <c r="C31" s="119" t="s">
        <v>424</v>
      </c>
      <c r="D31" s="122" t="s">
        <v>425</v>
      </c>
      <c r="E31" s="158" t="s">
        <v>332</v>
      </c>
      <c r="F31" s="120" t="s">
        <v>18</v>
      </c>
      <c r="G31" s="163">
        <v>46322.0</v>
      </c>
      <c r="H31" s="164" t="s">
        <v>206</v>
      </c>
      <c r="I31" s="110" t="s">
        <v>183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4"/>
      <c r="AA31" s="14"/>
      <c r="AB31" s="14"/>
    </row>
    <row r="32" ht="15.75" customHeight="1">
      <c r="A32" s="143"/>
      <c r="B32" s="111" t="s">
        <v>174</v>
      </c>
      <c r="C32" s="147"/>
      <c r="D32" s="147"/>
      <c r="E32" s="147"/>
      <c r="F32" s="147"/>
      <c r="G32" s="147"/>
      <c r="H32" s="149"/>
      <c r="I32" s="147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4"/>
      <c r="AA32" s="14"/>
      <c r="AB32" s="14"/>
    </row>
    <row r="33" ht="15.75" customHeight="1">
      <c r="A33" s="143"/>
      <c r="B33" s="116" t="s">
        <v>175</v>
      </c>
      <c r="C33" s="153"/>
      <c r="D33" s="153"/>
      <c r="E33" s="153"/>
      <c r="F33" s="153"/>
      <c r="G33" s="155"/>
      <c r="H33" s="155"/>
      <c r="I33" s="153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4"/>
      <c r="AA33" s="14"/>
      <c r="AB33" s="14"/>
    </row>
    <row r="34" ht="60.0" customHeight="1">
      <c r="A34" s="119" t="s">
        <v>433</v>
      </c>
      <c r="B34" s="119" t="s">
        <v>435</v>
      </c>
      <c r="C34" s="119" t="s">
        <v>437</v>
      </c>
      <c r="D34" s="122" t="s">
        <v>438</v>
      </c>
      <c r="E34" s="158" t="s">
        <v>349</v>
      </c>
      <c r="F34" s="120" t="s">
        <v>18</v>
      </c>
      <c r="G34" s="163">
        <v>46322.0</v>
      </c>
      <c r="H34" s="164" t="s">
        <v>181</v>
      </c>
      <c r="I34" s="110" t="s">
        <v>183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4"/>
      <c r="AA34" s="14"/>
      <c r="AB34" s="14"/>
    </row>
    <row r="35" ht="46.5" customHeight="1">
      <c r="A35" s="119" t="s">
        <v>439</v>
      </c>
      <c r="B35" s="119" t="s">
        <v>440</v>
      </c>
      <c r="C35" s="119" t="s">
        <v>441</v>
      </c>
      <c r="D35" s="122" t="s">
        <v>442</v>
      </c>
      <c r="E35" s="167" t="s">
        <v>443</v>
      </c>
      <c r="F35" s="120" t="s">
        <v>18</v>
      </c>
      <c r="G35" s="163">
        <v>46322.0</v>
      </c>
      <c r="H35" s="164" t="s">
        <v>201</v>
      </c>
      <c r="I35" s="110" t="s">
        <v>231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4"/>
      <c r="AA35" s="14"/>
      <c r="AB35" s="14"/>
    </row>
    <row r="36" ht="15.75" customHeight="1">
      <c r="A36" s="143"/>
      <c r="B36" s="116" t="s">
        <v>177</v>
      </c>
      <c r="C36" s="153"/>
      <c r="D36" s="153"/>
      <c r="E36" s="153"/>
      <c r="F36" s="153"/>
      <c r="G36" s="155"/>
      <c r="H36" s="155"/>
      <c r="I36" s="153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4"/>
      <c r="AA36" s="14"/>
      <c r="AB36" s="14"/>
    </row>
    <row r="37" ht="46.5" customHeight="1">
      <c r="A37" s="119" t="s">
        <v>448</v>
      </c>
      <c r="B37" s="119" t="s">
        <v>449</v>
      </c>
      <c r="C37" s="119" t="s">
        <v>450</v>
      </c>
      <c r="D37" s="122" t="s">
        <v>451</v>
      </c>
      <c r="E37" s="158" t="s">
        <v>345</v>
      </c>
      <c r="F37" s="120" t="s">
        <v>18</v>
      </c>
      <c r="G37" s="163">
        <v>46322.0</v>
      </c>
      <c r="H37" s="164" t="s">
        <v>181</v>
      </c>
      <c r="I37" s="110" t="s">
        <v>183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4"/>
      <c r="AA37" s="14"/>
      <c r="AB37" s="14"/>
    </row>
    <row r="38" ht="46.5" customHeight="1">
      <c r="A38" s="119" t="s">
        <v>457</v>
      </c>
      <c r="B38" s="119" t="s">
        <v>458</v>
      </c>
      <c r="C38" s="119" t="s">
        <v>459</v>
      </c>
      <c r="D38" s="122" t="s">
        <v>460</v>
      </c>
      <c r="E38" s="158" t="s">
        <v>324</v>
      </c>
      <c r="F38" s="120" t="s">
        <v>18</v>
      </c>
      <c r="G38" s="163">
        <v>46322.0</v>
      </c>
      <c r="H38" s="164" t="s">
        <v>201</v>
      </c>
      <c r="I38" s="110" t="s">
        <v>231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4"/>
      <c r="AA38" s="14"/>
      <c r="AB38" s="14"/>
    </row>
    <row r="39" ht="15.75" customHeight="1">
      <c r="A39" s="143"/>
      <c r="B39" s="111" t="s">
        <v>179</v>
      </c>
      <c r="C39" s="147"/>
      <c r="D39" s="147"/>
      <c r="E39" s="147"/>
      <c r="F39" s="147"/>
      <c r="G39" s="147"/>
      <c r="H39" s="149"/>
      <c r="I39" s="147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4"/>
      <c r="AA39" s="14"/>
      <c r="AB39" s="14"/>
    </row>
    <row r="40" ht="15.75" customHeight="1">
      <c r="A40" s="143"/>
      <c r="B40" s="116" t="s">
        <v>180</v>
      </c>
      <c r="C40" s="153"/>
      <c r="D40" s="153"/>
      <c r="E40" s="153"/>
      <c r="F40" s="153"/>
      <c r="G40" s="155"/>
      <c r="H40" s="155"/>
      <c r="I40" s="153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4"/>
      <c r="AA40" s="14"/>
      <c r="AB40" s="14"/>
    </row>
    <row r="41" ht="46.5" customHeight="1">
      <c r="A41" s="119" t="s">
        <v>466</v>
      </c>
      <c r="B41" s="119" t="s">
        <v>467</v>
      </c>
      <c r="C41" s="119" t="s">
        <v>469</v>
      </c>
      <c r="D41" s="122" t="s">
        <v>471</v>
      </c>
      <c r="E41" s="158" t="s">
        <v>324</v>
      </c>
      <c r="F41" s="120" t="s">
        <v>18</v>
      </c>
      <c r="G41" s="163">
        <v>46322.0</v>
      </c>
      <c r="H41" s="164" t="s">
        <v>181</v>
      </c>
      <c r="I41" s="110" t="s">
        <v>183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4"/>
      <c r="AA41" s="14"/>
      <c r="AB41" s="14"/>
    </row>
    <row r="42" ht="46.5" customHeight="1">
      <c r="A42" s="119" t="s">
        <v>475</v>
      </c>
      <c r="B42" s="119" t="s">
        <v>476</v>
      </c>
      <c r="C42" s="119" t="s">
        <v>477</v>
      </c>
      <c r="D42" s="122" t="s">
        <v>478</v>
      </c>
      <c r="E42" s="158" t="s">
        <v>324</v>
      </c>
      <c r="F42" s="120" t="s">
        <v>18</v>
      </c>
      <c r="G42" s="163">
        <v>46322.0</v>
      </c>
      <c r="H42" s="164" t="s">
        <v>201</v>
      </c>
      <c r="I42" s="110" t="s">
        <v>231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4"/>
      <c r="AA42" s="14"/>
      <c r="AB42" s="14"/>
    </row>
    <row r="43" ht="46.5" customHeight="1">
      <c r="A43" s="119" t="s">
        <v>479</v>
      </c>
      <c r="B43" s="119" t="s">
        <v>480</v>
      </c>
      <c r="C43" s="119" t="s">
        <v>482</v>
      </c>
      <c r="D43" s="122" t="s">
        <v>484</v>
      </c>
      <c r="E43" s="158" t="s">
        <v>466</v>
      </c>
      <c r="F43" s="120" t="s">
        <v>18</v>
      </c>
      <c r="G43" s="163">
        <v>46322.0</v>
      </c>
      <c r="H43" s="164" t="s">
        <v>201</v>
      </c>
      <c r="I43" s="110" t="s">
        <v>231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4"/>
      <c r="AA43" s="14"/>
      <c r="AB43" s="14"/>
    </row>
    <row r="44" ht="60.0" customHeight="1">
      <c r="A44" s="119" t="s">
        <v>487</v>
      </c>
      <c r="B44" s="119" t="s">
        <v>489</v>
      </c>
      <c r="C44" s="119" t="s">
        <v>491</v>
      </c>
      <c r="D44" s="122" t="s">
        <v>493</v>
      </c>
      <c r="E44" s="158" t="s">
        <v>324</v>
      </c>
      <c r="F44" s="120" t="s">
        <v>30</v>
      </c>
      <c r="G44" s="163">
        <v>46322.0</v>
      </c>
      <c r="H44" s="164" t="s">
        <v>206</v>
      </c>
      <c r="I44" s="110" t="s">
        <v>260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4"/>
      <c r="AA44" s="14"/>
      <c r="AB44" s="14"/>
    </row>
    <row r="45" ht="15.75" customHeight="1">
      <c r="A45" s="143"/>
      <c r="B45" s="116" t="s">
        <v>184</v>
      </c>
      <c r="C45" s="153"/>
      <c r="D45" s="153"/>
      <c r="E45" s="153"/>
      <c r="F45" s="153"/>
      <c r="G45" s="155"/>
      <c r="H45" s="155"/>
      <c r="I45" s="153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4"/>
      <c r="AA45" s="14"/>
      <c r="AB45" s="14"/>
    </row>
    <row r="46" ht="46.5" customHeight="1">
      <c r="A46" s="119" t="s">
        <v>495</v>
      </c>
      <c r="B46" s="119" t="s">
        <v>496</v>
      </c>
      <c r="C46" s="119" t="s">
        <v>497</v>
      </c>
      <c r="D46" s="122" t="s">
        <v>498</v>
      </c>
      <c r="E46" s="158" t="s">
        <v>466</v>
      </c>
      <c r="F46" s="120" t="s">
        <v>18</v>
      </c>
      <c r="G46" s="163">
        <v>46322.0</v>
      </c>
      <c r="H46" s="164" t="s">
        <v>201</v>
      </c>
      <c r="I46" s="110" t="s">
        <v>183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4"/>
      <c r="AA46" s="14"/>
      <c r="AB46" s="14"/>
    </row>
    <row r="47" ht="46.5" customHeight="1">
      <c r="A47" s="119" t="s">
        <v>503</v>
      </c>
      <c r="B47" s="119" t="s">
        <v>504</v>
      </c>
      <c r="C47" s="119" t="s">
        <v>505</v>
      </c>
      <c r="D47" s="122" t="s">
        <v>506</v>
      </c>
      <c r="E47" s="158" t="s">
        <v>495</v>
      </c>
      <c r="F47" s="120" t="s">
        <v>18</v>
      </c>
      <c r="G47" s="163">
        <v>46322.0</v>
      </c>
      <c r="H47" s="164" t="s">
        <v>201</v>
      </c>
      <c r="I47" s="110" t="s">
        <v>183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4"/>
      <c r="AA47" s="14"/>
      <c r="AB47" s="14"/>
    </row>
    <row r="48" ht="15.75" customHeight="1">
      <c r="A48" s="143"/>
      <c r="B48" s="111" t="s">
        <v>190</v>
      </c>
      <c r="C48" s="147"/>
      <c r="D48" s="147"/>
      <c r="E48" s="147"/>
      <c r="F48" s="147"/>
      <c r="G48" s="147"/>
      <c r="H48" s="149"/>
      <c r="I48" s="147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4"/>
      <c r="AA48" s="14"/>
      <c r="AB48" s="14"/>
    </row>
    <row r="49" ht="15.75" customHeight="1">
      <c r="A49" s="143"/>
      <c r="B49" s="116" t="s">
        <v>191</v>
      </c>
      <c r="C49" s="153"/>
      <c r="D49" s="153"/>
      <c r="E49" s="153"/>
      <c r="F49" s="153"/>
      <c r="G49" s="155"/>
      <c r="H49" s="155"/>
      <c r="I49" s="153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4"/>
      <c r="AA49" s="14"/>
      <c r="AB49" s="14"/>
    </row>
    <row r="50" ht="60.0" customHeight="1">
      <c r="A50" s="119" t="s">
        <v>515</v>
      </c>
      <c r="B50" s="119" t="s">
        <v>516</v>
      </c>
      <c r="C50" s="119" t="s">
        <v>517</v>
      </c>
      <c r="D50" s="122" t="s">
        <v>518</v>
      </c>
      <c r="E50" s="158" t="s">
        <v>324</v>
      </c>
      <c r="F50" s="120" t="s">
        <v>18</v>
      </c>
      <c r="G50" s="163">
        <v>46322.0</v>
      </c>
      <c r="H50" s="164" t="s">
        <v>201</v>
      </c>
      <c r="I50" s="110" t="s">
        <v>183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4"/>
      <c r="AA50" s="14"/>
      <c r="AB50" s="14"/>
    </row>
    <row r="51" ht="46.5" customHeight="1">
      <c r="A51" s="119" t="s">
        <v>519</v>
      </c>
      <c r="B51" s="119" t="s">
        <v>520</v>
      </c>
      <c r="C51" s="119" t="s">
        <v>521</v>
      </c>
      <c r="D51" s="122" t="s">
        <v>478</v>
      </c>
      <c r="E51" s="158" t="s">
        <v>324</v>
      </c>
      <c r="F51" s="120" t="s">
        <v>18</v>
      </c>
      <c r="G51" s="163">
        <v>46322.0</v>
      </c>
      <c r="H51" s="164" t="s">
        <v>206</v>
      </c>
      <c r="I51" s="110" t="s">
        <v>231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4"/>
      <c r="AA51" s="14"/>
      <c r="AB51" s="14"/>
    </row>
    <row r="52" ht="15.75" customHeight="1">
      <c r="A52" s="143"/>
      <c r="B52" s="116" t="s">
        <v>193</v>
      </c>
      <c r="C52" s="153"/>
      <c r="D52" s="153"/>
      <c r="E52" s="153"/>
      <c r="F52" s="153"/>
      <c r="G52" s="155"/>
      <c r="H52" s="155"/>
      <c r="I52" s="153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4"/>
      <c r="AA52" s="14"/>
      <c r="AB52" s="14"/>
    </row>
    <row r="53" ht="46.5" customHeight="1">
      <c r="A53" s="119" t="s">
        <v>530</v>
      </c>
      <c r="B53" s="119" t="s">
        <v>531</v>
      </c>
      <c r="C53" s="119" t="s">
        <v>532</v>
      </c>
      <c r="D53" s="122" t="s">
        <v>533</v>
      </c>
      <c r="E53" s="158" t="s">
        <v>324</v>
      </c>
      <c r="F53" s="120" t="s">
        <v>18</v>
      </c>
      <c r="G53" s="163">
        <v>46322.0</v>
      </c>
      <c r="H53" s="164" t="s">
        <v>206</v>
      </c>
      <c r="I53" s="110" t="s">
        <v>183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4"/>
      <c r="AA53" s="14"/>
      <c r="AB53" s="14"/>
    </row>
    <row r="54" ht="15.75" customHeight="1">
      <c r="A54" s="143"/>
      <c r="B54" s="116" t="s">
        <v>195</v>
      </c>
      <c r="C54" s="153"/>
      <c r="D54" s="153"/>
      <c r="E54" s="153"/>
      <c r="F54" s="153"/>
      <c r="G54" s="155"/>
      <c r="H54" s="155"/>
      <c r="I54" s="153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4"/>
      <c r="AA54" s="14"/>
      <c r="AB54" s="14"/>
    </row>
    <row r="55" ht="102.0" customHeight="1">
      <c r="A55" s="119" t="s">
        <v>538</v>
      </c>
      <c r="B55" s="119" t="s">
        <v>539</v>
      </c>
      <c r="C55" s="119" t="s">
        <v>541</v>
      </c>
      <c r="D55" s="122" t="s">
        <v>543</v>
      </c>
      <c r="E55" s="158" t="s">
        <v>515</v>
      </c>
      <c r="F55" s="120" t="s">
        <v>18</v>
      </c>
      <c r="G55" s="163">
        <v>46322.0</v>
      </c>
      <c r="H55" s="164" t="s">
        <v>201</v>
      </c>
      <c r="I55" s="110" t="s">
        <v>260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4"/>
      <c r="AA55" s="14"/>
      <c r="AB55" s="14"/>
    </row>
    <row r="56" ht="15.75" customHeight="1">
      <c r="A56" s="15"/>
      <c r="B56" s="15"/>
      <c r="C56" s="15"/>
      <c r="D56" s="15"/>
      <c r="E56" s="15"/>
      <c r="F56" s="15"/>
      <c r="G56" s="37"/>
      <c r="H56" s="37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4"/>
      <c r="AA56" s="14"/>
      <c r="AB56" s="14"/>
    </row>
    <row r="57" ht="15.75" customHeight="1">
      <c r="A57" s="15"/>
      <c r="B57" s="15"/>
      <c r="C57" s="15"/>
      <c r="D57" s="15"/>
      <c r="E57" s="15"/>
      <c r="F57" s="15"/>
      <c r="G57" s="37"/>
      <c r="H57" s="37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4"/>
      <c r="AA57" s="14"/>
      <c r="AB57" s="14"/>
    </row>
    <row r="58" ht="15.75" customHeight="1">
      <c r="A58" s="15"/>
      <c r="B58" s="15"/>
      <c r="C58" s="15"/>
      <c r="D58" s="15"/>
      <c r="E58" s="15"/>
      <c r="F58" s="15"/>
      <c r="G58" s="37"/>
      <c r="H58" s="37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4"/>
      <c r="AA58" s="14"/>
      <c r="AB58" s="14"/>
    </row>
    <row r="59" ht="15.75" customHeight="1">
      <c r="A59" s="15"/>
      <c r="B59" s="15"/>
      <c r="C59" s="15"/>
      <c r="D59" s="15"/>
      <c r="E59" s="15"/>
      <c r="F59" s="15"/>
      <c r="G59" s="37"/>
      <c r="H59" s="37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4"/>
      <c r="AA59" s="14"/>
      <c r="AB59" s="14"/>
    </row>
    <row r="60" ht="15.75" customHeight="1">
      <c r="A60" s="15"/>
      <c r="B60" s="15"/>
      <c r="C60" s="15"/>
      <c r="D60" s="15"/>
      <c r="E60" s="15"/>
      <c r="F60" s="15"/>
      <c r="G60" s="37"/>
      <c r="H60" s="37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4"/>
      <c r="AA60" s="14"/>
      <c r="AB60" s="14"/>
    </row>
    <row r="61" ht="15.75" customHeight="1">
      <c r="A61" s="15"/>
      <c r="B61" s="15"/>
      <c r="C61" s="15"/>
      <c r="D61" s="15"/>
      <c r="E61" s="15"/>
      <c r="F61" s="15"/>
      <c r="G61" s="37"/>
      <c r="H61" s="37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4"/>
      <c r="AA61" s="14"/>
      <c r="AB61" s="14"/>
    </row>
    <row r="62" ht="15.75" customHeight="1">
      <c r="A62" s="15"/>
      <c r="B62" s="15"/>
      <c r="C62" s="15"/>
      <c r="D62" s="15"/>
      <c r="E62" s="15"/>
      <c r="F62" s="15"/>
      <c r="G62" s="37"/>
      <c r="H62" s="37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4"/>
      <c r="AA62" s="14"/>
      <c r="AB62" s="14"/>
    </row>
    <row r="63" ht="15.75" customHeight="1">
      <c r="A63" s="15"/>
      <c r="B63" s="15"/>
      <c r="C63" s="15"/>
      <c r="D63" s="15"/>
      <c r="E63" s="15"/>
      <c r="F63" s="15"/>
      <c r="G63" s="37"/>
      <c r="H63" s="3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4"/>
      <c r="AA63" s="14"/>
      <c r="AB63" s="14"/>
    </row>
    <row r="64" ht="15.75" customHeight="1">
      <c r="A64" s="15"/>
      <c r="B64" s="15"/>
      <c r="C64" s="15"/>
      <c r="D64" s="15"/>
      <c r="E64" s="15"/>
      <c r="F64" s="15"/>
      <c r="G64" s="37"/>
      <c r="H64" s="37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4"/>
      <c r="AA64" s="14"/>
      <c r="AB64" s="14"/>
    </row>
    <row r="65" ht="15.75" customHeight="1">
      <c r="A65" s="15"/>
      <c r="B65" s="15"/>
      <c r="C65" s="15"/>
      <c r="D65" s="15"/>
      <c r="E65" s="15"/>
      <c r="F65" s="15"/>
      <c r="G65" s="37"/>
      <c r="H65" s="37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4"/>
      <c r="AA65" s="14"/>
      <c r="AB65" s="14"/>
    </row>
    <row r="66" ht="15.75" customHeight="1">
      <c r="A66" s="15"/>
      <c r="B66" s="15"/>
      <c r="C66" s="15"/>
      <c r="D66" s="15"/>
      <c r="E66" s="15"/>
      <c r="F66" s="15"/>
      <c r="G66" s="37"/>
      <c r="H66" s="37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4"/>
      <c r="AA66" s="14"/>
      <c r="AB66" s="14"/>
    </row>
    <row r="67" ht="15.75" customHeight="1">
      <c r="A67" s="15"/>
      <c r="B67" s="15"/>
      <c r="C67" s="15"/>
      <c r="D67" s="15"/>
      <c r="E67" s="15"/>
      <c r="F67" s="15"/>
      <c r="G67" s="37"/>
      <c r="H67" s="37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4"/>
      <c r="AA67" s="14"/>
      <c r="AB67" s="14"/>
    </row>
    <row r="68" ht="15.75" customHeight="1">
      <c r="A68" s="15"/>
      <c r="B68" s="15"/>
      <c r="C68" s="15"/>
      <c r="D68" s="15"/>
      <c r="E68" s="15"/>
      <c r="F68" s="15"/>
      <c r="G68" s="37"/>
      <c r="H68" s="37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4"/>
      <c r="AA68" s="14"/>
      <c r="AB68" s="14"/>
    </row>
    <row r="69" ht="15.75" customHeight="1">
      <c r="A69" s="15"/>
      <c r="B69" s="15"/>
      <c r="C69" s="15"/>
      <c r="D69" s="15"/>
      <c r="E69" s="15"/>
      <c r="F69" s="15"/>
      <c r="G69" s="37"/>
      <c r="H69" s="37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4"/>
      <c r="AA69" s="14"/>
      <c r="AB69" s="14"/>
    </row>
    <row r="70" ht="15.75" customHeight="1">
      <c r="A70" s="15"/>
      <c r="B70" s="15"/>
      <c r="C70" s="15"/>
      <c r="D70" s="15"/>
      <c r="E70" s="15"/>
      <c r="F70" s="15"/>
      <c r="G70" s="37"/>
      <c r="H70" s="37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4"/>
      <c r="AA70" s="14"/>
      <c r="AB70" s="14"/>
    </row>
    <row r="71" ht="15.75" customHeight="1">
      <c r="A71" s="15"/>
      <c r="B71" s="15"/>
      <c r="C71" s="15"/>
      <c r="D71" s="15"/>
      <c r="E71" s="15"/>
      <c r="F71" s="15"/>
      <c r="G71" s="37"/>
      <c r="H71" s="37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4"/>
      <c r="AA71" s="14"/>
      <c r="AB71" s="14"/>
    </row>
    <row r="72" ht="15.75" customHeight="1">
      <c r="A72" s="15"/>
      <c r="B72" s="15"/>
      <c r="C72" s="15"/>
      <c r="D72" s="15"/>
      <c r="E72" s="15"/>
      <c r="F72" s="15"/>
      <c r="G72" s="37"/>
      <c r="H72" s="37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4"/>
      <c r="AA72" s="14"/>
      <c r="AB72" s="14"/>
    </row>
    <row r="73" ht="15.75" customHeight="1">
      <c r="A73" s="15"/>
      <c r="B73" s="15"/>
      <c r="C73" s="15"/>
      <c r="D73" s="15"/>
      <c r="E73" s="15"/>
      <c r="F73" s="15"/>
      <c r="G73" s="37"/>
      <c r="H73" s="37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4"/>
      <c r="AA73" s="14"/>
      <c r="AB73" s="14"/>
    </row>
    <row r="74" ht="15.75" customHeight="1">
      <c r="A74" s="15"/>
      <c r="B74" s="15"/>
      <c r="C74" s="15"/>
      <c r="D74" s="15"/>
      <c r="E74" s="15"/>
      <c r="F74" s="15"/>
      <c r="G74" s="37"/>
      <c r="H74" s="37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4"/>
      <c r="AA74" s="14"/>
      <c r="AB74" s="14"/>
    </row>
    <row r="75" ht="15.75" customHeight="1">
      <c r="A75" s="15"/>
      <c r="B75" s="15"/>
      <c r="C75" s="15"/>
      <c r="D75" s="15"/>
      <c r="E75" s="15"/>
      <c r="F75" s="15"/>
      <c r="G75" s="37"/>
      <c r="H75" s="37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4"/>
      <c r="AA75" s="14"/>
      <c r="AB75" s="14"/>
    </row>
    <row r="76" ht="15.75" customHeight="1">
      <c r="A76" s="15"/>
      <c r="B76" s="15"/>
      <c r="C76" s="15"/>
      <c r="D76" s="15"/>
      <c r="E76" s="15"/>
      <c r="F76" s="15"/>
      <c r="G76" s="37"/>
      <c r="H76" s="37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4"/>
      <c r="AA76" s="14"/>
      <c r="AB76" s="14"/>
    </row>
    <row r="77" ht="15.75" customHeight="1">
      <c r="A77" s="15"/>
      <c r="B77" s="15"/>
      <c r="C77" s="15"/>
      <c r="D77" s="15"/>
      <c r="E77" s="15"/>
      <c r="F77" s="15"/>
      <c r="G77" s="37"/>
      <c r="H77" s="37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4"/>
      <c r="AA77" s="14"/>
      <c r="AB77" s="14"/>
    </row>
    <row r="78" ht="15.75" customHeight="1">
      <c r="A78" s="15"/>
      <c r="B78" s="15"/>
      <c r="C78" s="15"/>
      <c r="D78" s="15"/>
      <c r="E78" s="15"/>
      <c r="F78" s="15"/>
      <c r="G78" s="37"/>
      <c r="H78" s="37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4"/>
      <c r="AA78" s="14"/>
      <c r="AB78" s="14"/>
    </row>
    <row r="79" ht="15.75" customHeight="1">
      <c r="A79" s="15"/>
      <c r="B79" s="15"/>
      <c r="C79" s="15"/>
      <c r="D79" s="15"/>
      <c r="E79" s="15"/>
      <c r="F79" s="15"/>
      <c r="G79" s="37"/>
      <c r="H79" s="37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4"/>
      <c r="AA79" s="14"/>
      <c r="AB79" s="14"/>
    </row>
    <row r="80" ht="15.75" customHeight="1">
      <c r="A80" s="15"/>
      <c r="B80" s="15"/>
      <c r="C80" s="15"/>
      <c r="D80" s="15"/>
      <c r="E80" s="15"/>
      <c r="F80" s="15"/>
      <c r="G80" s="37"/>
      <c r="H80" s="37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4"/>
      <c r="AA80" s="14"/>
      <c r="AB80" s="14"/>
    </row>
    <row r="81" ht="15.75" customHeight="1">
      <c r="A81" s="15"/>
      <c r="B81" s="15"/>
      <c r="C81" s="15"/>
      <c r="D81" s="15"/>
      <c r="E81" s="15"/>
      <c r="F81" s="15"/>
      <c r="G81" s="37"/>
      <c r="H81" s="37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4"/>
      <c r="AA81" s="14"/>
      <c r="AB81" s="14"/>
    </row>
    <row r="82" ht="15.75" customHeight="1">
      <c r="A82" s="15"/>
      <c r="B82" s="15"/>
      <c r="C82" s="15"/>
      <c r="D82" s="15"/>
      <c r="E82" s="15"/>
      <c r="F82" s="15"/>
      <c r="G82" s="37"/>
      <c r="H82" s="37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4"/>
      <c r="AA82" s="14"/>
      <c r="AB82" s="14"/>
    </row>
    <row r="83" ht="15.75" customHeight="1">
      <c r="A83" s="15"/>
      <c r="B83" s="15"/>
      <c r="C83" s="15"/>
      <c r="D83" s="15"/>
      <c r="E83" s="15"/>
      <c r="F83" s="15"/>
      <c r="G83" s="37"/>
      <c r="H83" s="37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4"/>
      <c r="AA83" s="14"/>
      <c r="AB83" s="14"/>
    </row>
    <row r="84" ht="15.75" customHeight="1">
      <c r="A84" s="15"/>
      <c r="B84" s="15"/>
      <c r="C84" s="15"/>
      <c r="D84" s="15"/>
      <c r="E84" s="15"/>
      <c r="F84" s="15"/>
      <c r="G84" s="37"/>
      <c r="H84" s="37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4"/>
      <c r="AA84" s="14"/>
      <c r="AB84" s="14"/>
    </row>
    <row r="85" ht="15.75" customHeight="1">
      <c r="A85" s="15"/>
      <c r="B85" s="15"/>
      <c r="C85" s="15"/>
      <c r="D85" s="15"/>
      <c r="E85" s="15"/>
      <c r="F85" s="15"/>
      <c r="G85" s="37"/>
      <c r="H85" s="37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4"/>
      <c r="AA85" s="14"/>
      <c r="AB85" s="14"/>
    </row>
    <row r="86" ht="15.75" customHeight="1">
      <c r="A86" s="15"/>
      <c r="B86" s="15"/>
      <c r="C86" s="15"/>
      <c r="D86" s="15"/>
      <c r="E86" s="15"/>
      <c r="F86" s="15"/>
      <c r="G86" s="37"/>
      <c r="H86" s="37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4"/>
      <c r="AA86" s="14"/>
      <c r="AB86" s="14"/>
    </row>
    <row r="87" ht="15.75" customHeight="1">
      <c r="A87" s="15"/>
      <c r="B87" s="15"/>
      <c r="C87" s="15"/>
      <c r="D87" s="15"/>
      <c r="E87" s="15"/>
      <c r="F87" s="15"/>
      <c r="G87" s="37"/>
      <c r="H87" s="37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4"/>
      <c r="AA87" s="14"/>
      <c r="AB87" s="14"/>
    </row>
    <row r="88" ht="15.75" customHeight="1">
      <c r="A88" s="15"/>
      <c r="B88" s="15"/>
      <c r="C88" s="15"/>
      <c r="D88" s="15"/>
      <c r="E88" s="15"/>
      <c r="F88" s="15"/>
      <c r="G88" s="37"/>
      <c r="H88" s="37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4"/>
      <c r="AA88" s="14"/>
      <c r="AB88" s="14"/>
    </row>
    <row r="89" ht="15.75" customHeight="1">
      <c r="A89" s="15"/>
      <c r="B89" s="15"/>
      <c r="C89" s="15"/>
      <c r="D89" s="15"/>
      <c r="E89" s="15"/>
      <c r="F89" s="15"/>
      <c r="G89" s="37"/>
      <c r="H89" s="37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4"/>
      <c r="AA89" s="14"/>
      <c r="AB89" s="14"/>
    </row>
    <row r="90" ht="15.75" customHeight="1">
      <c r="A90" s="15"/>
      <c r="B90" s="15"/>
      <c r="C90" s="15"/>
      <c r="D90" s="15"/>
      <c r="E90" s="15"/>
      <c r="F90" s="15"/>
      <c r="G90" s="37"/>
      <c r="H90" s="37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4"/>
      <c r="AA90" s="14"/>
      <c r="AB90" s="14"/>
    </row>
    <row r="91" ht="15.75" customHeight="1">
      <c r="A91" s="15"/>
      <c r="B91" s="15"/>
      <c r="C91" s="15"/>
      <c r="D91" s="15"/>
      <c r="E91" s="15"/>
      <c r="F91" s="15"/>
      <c r="G91" s="37"/>
      <c r="H91" s="37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4"/>
      <c r="AA91" s="14"/>
      <c r="AB91" s="14"/>
    </row>
    <row r="92" ht="15.75" customHeight="1">
      <c r="A92" s="15"/>
      <c r="B92" s="15"/>
      <c r="C92" s="15"/>
      <c r="D92" s="15"/>
      <c r="E92" s="15"/>
      <c r="F92" s="15"/>
      <c r="G92" s="37"/>
      <c r="H92" s="37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4"/>
      <c r="AA92" s="14"/>
      <c r="AB92" s="14"/>
    </row>
    <row r="93" ht="15.75" customHeight="1">
      <c r="A93" s="15"/>
      <c r="B93" s="15"/>
      <c r="C93" s="15"/>
      <c r="D93" s="15"/>
      <c r="E93" s="15"/>
      <c r="F93" s="15"/>
      <c r="G93" s="37"/>
      <c r="H93" s="37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4"/>
      <c r="AA93" s="14"/>
      <c r="AB93" s="14"/>
    </row>
    <row r="94" ht="15.75" customHeight="1">
      <c r="A94" s="15"/>
      <c r="B94" s="15"/>
      <c r="C94" s="15"/>
      <c r="D94" s="15"/>
      <c r="E94" s="15"/>
      <c r="F94" s="15"/>
      <c r="G94" s="37"/>
      <c r="H94" s="37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4"/>
      <c r="AA94" s="14"/>
      <c r="AB94" s="14"/>
    </row>
    <row r="95" ht="15.75" customHeight="1">
      <c r="A95" s="15"/>
      <c r="B95" s="15"/>
      <c r="C95" s="15"/>
      <c r="D95" s="15"/>
      <c r="E95" s="15"/>
      <c r="F95" s="15"/>
      <c r="G95" s="37"/>
      <c r="H95" s="37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4"/>
      <c r="AA95" s="14"/>
      <c r="AB95" s="14"/>
    </row>
    <row r="96" ht="15.75" customHeight="1">
      <c r="A96" s="15"/>
      <c r="B96" s="15"/>
      <c r="C96" s="15"/>
      <c r="D96" s="15"/>
      <c r="E96" s="15"/>
      <c r="F96" s="15"/>
      <c r="G96" s="37"/>
      <c r="H96" s="37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4"/>
      <c r="AA96" s="14"/>
      <c r="AB96" s="14"/>
    </row>
    <row r="97" ht="15.75" customHeight="1">
      <c r="A97" s="15"/>
      <c r="B97" s="15"/>
      <c r="C97" s="15"/>
      <c r="D97" s="15"/>
      <c r="E97" s="15"/>
      <c r="F97" s="15"/>
      <c r="G97" s="37"/>
      <c r="H97" s="37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4"/>
      <c r="AA97" s="14"/>
      <c r="AB97" s="14"/>
    </row>
    <row r="98" ht="15.75" customHeight="1">
      <c r="A98" s="15"/>
      <c r="B98" s="15"/>
      <c r="C98" s="15"/>
      <c r="D98" s="15"/>
      <c r="E98" s="15"/>
      <c r="F98" s="15"/>
      <c r="G98" s="37"/>
      <c r="H98" s="37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4"/>
      <c r="AA98" s="14"/>
      <c r="AB98" s="14"/>
    </row>
    <row r="99" ht="15.75" customHeight="1">
      <c r="A99" s="15"/>
      <c r="B99" s="15"/>
      <c r="C99" s="15"/>
      <c r="D99" s="15"/>
      <c r="E99" s="15"/>
      <c r="F99" s="15"/>
      <c r="G99" s="37"/>
      <c r="H99" s="37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4"/>
      <c r="AA99" s="14"/>
      <c r="AB99" s="14"/>
    </row>
    <row r="100" ht="15.75" customHeight="1">
      <c r="A100" s="15"/>
      <c r="B100" s="15"/>
      <c r="C100" s="15"/>
      <c r="D100" s="15"/>
      <c r="E100" s="15"/>
      <c r="F100" s="15"/>
      <c r="G100" s="37"/>
      <c r="H100" s="37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4"/>
      <c r="AA100" s="14"/>
      <c r="AB100" s="14"/>
    </row>
    <row r="101" ht="15.75" customHeight="1">
      <c r="A101" s="15"/>
      <c r="B101" s="15"/>
      <c r="C101" s="15"/>
      <c r="D101" s="15"/>
      <c r="E101" s="15"/>
      <c r="F101" s="15"/>
      <c r="G101" s="37"/>
      <c r="H101" s="37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4"/>
      <c r="AA101" s="14"/>
      <c r="AB101" s="14"/>
    </row>
    <row r="102" ht="15.75" customHeight="1">
      <c r="A102" s="15"/>
      <c r="B102" s="15"/>
      <c r="C102" s="15"/>
      <c r="D102" s="15"/>
      <c r="E102" s="15"/>
      <c r="F102" s="15"/>
      <c r="G102" s="37"/>
      <c r="H102" s="37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4"/>
      <c r="AA102" s="14"/>
      <c r="AB102" s="14"/>
    </row>
    <row r="103" ht="15.75" customHeight="1">
      <c r="A103" s="15"/>
      <c r="B103" s="15"/>
      <c r="C103" s="15"/>
      <c r="D103" s="15"/>
      <c r="E103" s="15"/>
      <c r="F103" s="15"/>
      <c r="G103" s="37"/>
      <c r="H103" s="37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4"/>
      <c r="AA103" s="14"/>
      <c r="AB103" s="14"/>
    </row>
    <row r="104" ht="15.75" customHeight="1">
      <c r="A104" s="15"/>
      <c r="B104" s="15"/>
      <c r="C104" s="15"/>
      <c r="D104" s="15"/>
      <c r="E104" s="15"/>
      <c r="F104" s="15"/>
      <c r="G104" s="37"/>
      <c r="H104" s="37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4"/>
      <c r="AA104" s="14"/>
      <c r="AB104" s="14"/>
    </row>
    <row r="105" ht="15.75" customHeight="1">
      <c r="A105" s="15"/>
      <c r="B105" s="15"/>
      <c r="C105" s="15"/>
      <c r="D105" s="15"/>
      <c r="E105" s="15"/>
      <c r="F105" s="15"/>
      <c r="G105" s="37"/>
      <c r="H105" s="37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4"/>
      <c r="AA105" s="14"/>
      <c r="AB105" s="14"/>
    </row>
    <row r="106" ht="15.75" customHeight="1">
      <c r="A106" s="15"/>
      <c r="B106" s="15"/>
      <c r="C106" s="15"/>
      <c r="D106" s="15"/>
      <c r="E106" s="15"/>
      <c r="F106" s="15"/>
      <c r="G106" s="37"/>
      <c r="H106" s="37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4"/>
      <c r="AA106" s="14"/>
      <c r="AB106" s="14"/>
    </row>
    <row r="107" ht="15.75" customHeight="1">
      <c r="A107" s="15"/>
      <c r="B107" s="15"/>
      <c r="C107" s="15"/>
      <c r="D107" s="15"/>
      <c r="E107" s="15"/>
      <c r="F107" s="15"/>
      <c r="G107" s="37"/>
      <c r="H107" s="37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4"/>
      <c r="AA107" s="14"/>
      <c r="AB107" s="14"/>
    </row>
    <row r="108" ht="15.75" customHeight="1">
      <c r="A108" s="15"/>
      <c r="B108" s="15"/>
      <c r="C108" s="15"/>
      <c r="D108" s="15"/>
      <c r="E108" s="15"/>
      <c r="F108" s="15"/>
      <c r="G108" s="37"/>
      <c r="H108" s="37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4"/>
      <c r="AA108" s="14"/>
      <c r="AB108" s="14"/>
    </row>
    <row r="109" ht="15.75" customHeight="1">
      <c r="A109" s="15"/>
      <c r="B109" s="15"/>
      <c r="C109" s="15"/>
      <c r="D109" s="15"/>
      <c r="E109" s="15"/>
      <c r="F109" s="15"/>
      <c r="G109" s="37"/>
      <c r="H109" s="37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4"/>
      <c r="AA109" s="14"/>
      <c r="AB109" s="14"/>
    </row>
    <row r="110" ht="15.75" customHeight="1">
      <c r="A110" s="15"/>
      <c r="B110" s="15"/>
      <c r="C110" s="15"/>
      <c r="D110" s="15"/>
      <c r="E110" s="15"/>
      <c r="F110" s="15"/>
      <c r="G110" s="37"/>
      <c r="H110" s="37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4"/>
      <c r="AA110" s="14"/>
      <c r="AB110" s="14"/>
    </row>
    <row r="111" ht="15.75" customHeight="1">
      <c r="A111" s="15"/>
      <c r="B111" s="15"/>
      <c r="C111" s="15"/>
      <c r="D111" s="15"/>
      <c r="E111" s="15"/>
      <c r="F111" s="15"/>
      <c r="G111" s="37"/>
      <c r="H111" s="37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4"/>
      <c r="AA111" s="14"/>
      <c r="AB111" s="14"/>
    </row>
    <row r="112" ht="15.75" customHeight="1">
      <c r="A112" s="15"/>
      <c r="B112" s="15"/>
      <c r="C112" s="15"/>
      <c r="D112" s="15"/>
      <c r="E112" s="15"/>
      <c r="F112" s="15"/>
      <c r="G112" s="37"/>
      <c r="H112" s="37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4"/>
      <c r="AA112" s="14"/>
      <c r="AB112" s="14"/>
    </row>
    <row r="113" ht="15.75" customHeight="1">
      <c r="A113" s="15"/>
      <c r="B113" s="15"/>
      <c r="C113" s="15"/>
      <c r="D113" s="15"/>
      <c r="E113" s="15"/>
      <c r="F113" s="15"/>
      <c r="G113" s="37"/>
      <c r="H113" s="37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4"/>
      <c r="AA113" s="14"/>
      <c r="AB113" s="14"/>
    </row>
    <row r="114" ht="15.75" customHeight="1">
      <c r="A114" s="15"/>
      <c r="B114" s="15"/>
      <c r="C114" s="15"/>
      <c r="D114" s="15"/>
      <c r="E114" s="15"/>
      <c r="F114" s="15"/>
      <c r="G114" s="37"/>
      <c r="H114" s="37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4"/>
      <c r="AA114" s="14"/>
      <c r="AB114" s="14"/>
    </row>
    <row r="115" ht="15.75" customHeight="1">
      <c r="A115" s="15"/>
      <c r="B115" s="15"/>
      <c r="C115" s="15"/>
      <c r="D115" s="15"/>
      <c r="E115" s="15"/>
      <c r="F115" s="15"/>
      <c r="G115" s="37"/>
      <c r="H115" s="37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4"/>
      <c r="AA115" s="14"/>
      <c r="AB115" s="14"/>
    </row>
    <row r="116" ht="15.75" customHeight="1">
      <c r="A116" s="15"/>
      <c r="B116" s="15"/>
      <c r="C116" s="15"/>
      <c r="D116" s="15"/>
      <c r="E116" s="15"/>
      <c r="F116" s="15"/>
      <c r="G116" s="37"/>
      <c r="H116" s="37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4"/>
      <c r="AA116" s="14"/>
      <c r="AB116" s="14"/>
    </row>
    <row r="117" ht="15.75" customHeight="1">
      <c r="A117" s="15"/>
      <c r="B117" s="15"/>
      <c r="C117" s="15"/>
      <c r="D117" s="15"/>
      <c r="E117" s="15"/>
      <c r="F117" s="15"/>
      <c r="G117" s="37"/>
      <c r="H117" s="37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4"/>
      <c r="AA117" s="14"/>
      <c r="AB117" s="14"/>
    </row>
    <row r="118" ht="15.75" customHeight="1">
      <c r="A118" s="15"/>
      <c r="B118" s="15"/>
      <c r="C118" s="15"/>
      <c r="D118" s="15"/>
      <c r="E118" s="15"/>
      <c r="F118" s="15"/>
      <c r="G118" s="37"/>
      <c r="H118" s="37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4"/>
      <c r="AA118" s="14"/>
      <c r="AB118" s="14"/>
    </row>
    <row r="119" ht="15.75" customHeight="1">
      <c r="A119" s="15"/>
      <c r="B119" s="15"/>
      <c r="C119" s="15"/>
      <c r="D119" s="15"/>
      <c r="E119" s="15"/>
      <c r="F119" s="15"/>
      <c r="G119" s="37"/>
      <c r="H119" s="37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4"/>
      <c r="AA119" s="14"/>
      <c r="AB119" s="14"/>
    </row>
    <row r="120" ht="15.75" customHeight="1">
      <c r="A120" s="15"/>
      <c r="B120" s="15"/>
      <c r="C120" s="15"/>
      <c r="D120" s="15"/>
      <c r="E120" s="15"/>
      <c r="F120" s="15"/>
      <c r="G120" s="37"/>
      <c r="H120" s="37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4"/>
      <c r="AA120" s="14"/>
      <c r="AB120" s="14"/>
    </row>
    <row r="121" ht="15.75" customHeight="1">
      <c r="A121" s="15"/>
      <c r="B121" s="15"/>
      <c r="C121" s="15"/>
      <c r="D121" s="15"/>
      <c r="E121" s="15"/>
      <c r="F121" s="15"/>
      <c r="G121" s="37"/>
      <c r="H121" s="37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4"/>
      <c r="AA121" s="14"/>
      <c r="AB121" s="14"/>
    </row>
    <row r="122" ht="15.75" customHeight="1">
      <c r="A122" s="15"/>
      <c r="B122" s="15"/>
      <c r="C122" s="15"/>
      <c r="D122" s="15"/>
      <c r="E122" s="15"/>
      <c r="F122" s="15"/>
      <c r="G122" s="37"/>
      <c r="H122" s="37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4"/>
      <c r="AA122" s="14"/>
      <c r="AB122" s="14"/>
    </row>
    <row r="123" ht="15.75" customHeight="1">
      <c r="A123" s="15"/>
      <c r="B123" s="15"/>
      <c r="C123" s="15"/>
      <c r="D123" s="15"/>
      <c r="E123" s="15"/>
      <c r="F123" s="15"/>
      <c r="G123" s="37"/>
      <c r="H123" s="37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4"/>
      <c r="AA123" s="14"/>
      <c r="AB123" s="14"/>
    </row>
    <row r="124" ht="15.75" customHeight="1">
      <c r="A124" s="15"/>
      <c r="B124" s="15"/>
      <c r="C124" s="15"/>
      <c r="D124" s="15"/>
      <c r="E124" s="15"/>
      <c r="F124" s="15"/>
      <c r="G124" s="37"/>
      <c r="H124" s="37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4"/>
      <c r="AA124" s="14"/>
      <c r="AB124" s="14"/>
    </row>
    <row r="125" ht="15.75" customHeight="1">
      <c r="A125" s="15"/>
      <c r="B125" s="15"/>
      <c r="C125" s="15"/>
      <c r="D125" s="15"/>
      <c r="E125" s="15"/>
      <c r="F125" s="15"/>
      <c r="G125" s="37"/>
      <c r="H125" s="37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4"/>
      <c r="AA125" s="14"/>
      <c r="AB125" s="14"/>
    </row>
    <row r="126" ht="15.75" customHeight="1">
      <c r="A126" s="15"/>
      <c r="B126" s="15"/>
      <c r="C126" s="15"/>
      <c r="D126" s="15"/>
      <c r="E126" s="15"/>
      <c r="F126" s="15"/>
      <c r="G126" s="37"/>
      <c r="H126" s="37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4"/>
      <c r="AA126" s="14"/>
      <c r="AB126" s="14"/>
    </row>
    <row r="127" ht="15.75" customHeight="1">
      <c r="A127" s="15"/>
      <c r="B127" s="15"/>
      <c r="C127" s="15"/>
      <c r="D127" s="15"/>
      <c r="E127" s="15"/>
      <c r="F127" s="15"/>
      <c r="G127" s="37"/>
      <c r="H127" s="37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4"/>
      <c r="AA127" s="14"/>
      <c r="AB127" s="14"/>
    </row>
    <row r="128" ht="15.75" customHeight="1">
      <c r="A128" s="15"/>
      <c r="B128" s="15"/>
      <c r="C128" s="15"/>
      <c r="D128" s="15"/>
      <c r="E128" s="15"/>
      <c r="F128" s="15"/>
      <c r="G128" s="37"/>
      <c r="H128" s="37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4"/>
      <c r="AA128" s="14"/>
      <c r="AB128" s="14"/>
    </row>
    <row r="129" ht="15.75" customHeight="1">
      <c r="A129" s="15"/>
      <c r="B129" s="15"/>
      <c r="C129" s="15"/>
      <c r="D129" s="15"/>
      <c r="E129" s="15"/>
      <c r="F129" s="15"/>
      <c r="G129" s="37"/>
      <c r="H129" s="37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4"/>
      <c r="AA129" s="14"/>
      <c r="AB129" s="14"/>
    </row>
    <row r="130" ht="15.75" customHeight="1">
      <c r="A130" s="15"/>
      <c r="B130" s="15"/>
      <c r="C130" s="15"/>
      <c r="D130" s="15"/>
      <c r="E130" s="15"/>
      <c r="F130" s="15"/>
      <c r="G130" s="37"/>
      <c r="H130" s="37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4"/>
      <c r="AA130" s="14"/>
      <c r="AB130" s="14"/>
    </row>
    <row r="131" ht="15.75" customHeight="1">
      <c r="A131" s="15"/>
      <c r="B131" s="15"/>
      <c r="C131" s="15"/>
      <c r="D131" s="15"/>
      <c r="E131" s="15"/>
      <c r="F131" s="15"/>
      <c r="G131" s="37"/>
      <c r="H131" s="37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4"/>
      <c r="AA131" s="14"/>
      <c r="AB131" s="14"/>
    </row>
    <row r="132" ht="15.75" customHeight="1">
      <c r="A132" s="15"/>
      <c r="B132" s="15"/>
      <c r="C132" s="15"/>
      <c r="D132" s="15"/>
      <c r="E132" s="15"/>
      <c r="F132" s="15"/>
      <c r="G132" s="37"/>
      <c r="H132" s="37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4"/>
      <c r="AA132" s="14"/>
      <c r="AB132" s="14"/>
    </row>
    <row r="133" ht="15.75" customHeight="1">
      <c r="A133" s="15"/>
      <c r="B133" s="15"/>
      <c r="C133" s="15"/>
      <c r="D133" s="15"/>
      <c r="E133" s="15"/>
      <c r="F133" s="15"/>
      <c r="G133" s="37"/>
      <c r="H133" s="37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4"/>
      <c r="AA133" s="14"/>
      <c r="AB133" s="14"/>
    </row>
    <row r="134" ht="15.75" customHeight="1">
      <c r="A134" s="15"/>
      <c r="B134" s="15"/>
      <c r="C134" s="15"/>
      <c r="D134" s="15"/>
      <c r="E134" s="15"/>
      <c r="F134" s="15"/>
      <c r="G134" s="37"/>
      <c r="H134" s="37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4"/>
      <c r="AA134" s="14"/>
      <c r="AB134" s="14"/>
    </row>
    <row r="135" ht="15.75" customHeight="1">
      <c r="A135" s="15"/>
      <c r="B135" s="15"/>
      <c r="C135" s="15"/>
      <c r="D135" s="15"/>
      <c r="E135" s="15"/>
      <c r="F135" s="15"/>
      <c r="G135" s="37"/>
      <c r="H135" s="37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4"/>
      <c r="AA135" s="14"/>
      <c r="AB135" s="14"/>
    </row>
    <row r="136" ht="15.75" customHeight="1">
      <c r="A136" s="15"/>
      <c r="B136" s="15"/>
      <c r="C136" s="15"/>
      <c r="D136" s="15"/>
      <c r="E136" s="15"/>
      <c r="F136" s="15"/>
      <c r="G136" s="37"/>
      <c r="H136" s="37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4"/>
      <c r="AA136" s="14"/>
      <c r="AB136" s="14"/>
    </row>
    <row r="137" ht="15.75" customHeight="1">
      <c r="A137" s="15"/>
      <c r="B137" s="15"/>
      <c r="C137" s="15"/>
      <c r="D137" s="15"/>
      <c r="E137" s="15"/>
      <c r="F137" s="15"/>
      <c r="G137" s="37"/>
      <c r="H137" s="3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4"/>
      <c r="AA137" s="14"/>
      <c r="AB137" s="14"/>
    </row>
    <row r="138" ht="15.75" customHeight="1">
      <c r="A138" s="15"/>
      <c r="B138" s="15"/>
      <c r="C138" s="15"/>
      <c r="D138" s="15"/>
      <c r="E138" s="15"/>
      <c r="F138" s="15"/>
      <c r="G138" s="37"/>
      <c r="H138" s="37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4"/>
      <c r="AA138" s="14"/>
      <c r="AB138" s="14"/>
    </row>
    <row r="139" ht="15.75" customHeight="1">
      <c r="A139" s="15"/>
      <c r="B139" s="15"/>
      <c r="C139" s="15"/>
      <c r="D139" s="15"/>
      <c r="E139" s="15"/>
      <c r="F139" s="15"/>
      <c r="G139" s="37"/>
      <c r="H139" s="3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4"/>
      <c r="AA139" s="14"/>
      <c r="AB139" s="14"/>
    </row>
    <row r="140" ht="15.75" customHeight="1">
      <c r="A140" s="15"/>
      <c r="B140" s="15"/>
      <c r="C140" s="15"/>
      <c r="D140" s="15"/>
      <c r="E140" s="15"/>
      <c r="F140" s="15"/>
      <c r="G140" s="37"/>
      <c r="H140" s="3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4"/>
      <c r="AA140" s="14"/>
      <c r="AB140" s="14"/>
    </row>
    <row r="141" ht="15.75" customHeight="1">
      <c r="A141" s="15"/>
      <c r="B141" s="15"/>
      <c r="C141" s="15"/>
      <c r="D141" s="15"/>
      <c r="E141" s="15"/>
      <c r="F141" s="15"/>
      <c r="G141" s="37"/>
      <c r="H141" s="3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4"/>
      <c r="AA141" s="14"/>
      <c r="AB141" s="14"/>
    </row>
    <row r="142" ht="15.75" customHeight="1">
      <c r="A142" s="15"/>
      <c r="B142" s="15"/>
      <c r="C142" s="15"/>
      <c r="D142" s="15"/>
      <c r="E142" s="15"/>
      <c r="F142" s="15"/>
      <c r="G142" s="37"/>
      <c r="H142" s="3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4"/>
      <c r="AA142" s="14"/>
      <c r="AB142" s="14"/>
    </row>
    <row r="143" ht="15.75" customHeight="1">
      <c r="A143" s="15"/>
      <c r="B143" s="15"/>
      <c r="C143" s="15"/>
      <c r="D143" s="15"/>
      <c r="E143" s="15"/>
      <c r="F143" s="15"/>
      <c r="G143" s="37"/>
      <c r="H143" s="37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4"/>
      <c r="AA143" s="14"/>
      <c r="AB143" s="14"/>
    </row>
    <row r="144" ht="15.75" customHeight="1">
      <c r="A144" s="15"/>
      <c r="B144" s="15"/>
      <c r="C144" s="15"/>
      <c r="D144" s="15"/>
      <c r="E144" s="15"/>
      <c r="F144" s="15"/>
      <c r="G144" s="37"/>
      <c r="H144" s="3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4"/>
      <c r="AA144" s="14"/>
      <c r="AB144" s="14"/>
    </row>
    <row r="145" ht="15.75" customHeight="1">
      <c r="A145" s="15"/>
      <c r="B145" s="15"/>
      <c r="C145" s="15"/>
      <c r="D145" s="15"/>
      <c r="E145" s="15"/>
      <c r="F145" s="15"/>
      <c r="G145" s="37"/>
      <c r="H145" s="3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4"/>
      <c r="AA145" s="14"/>
      <c r="AB145" s="14"/>
    </row>
    <row r="146" ht="15.75" customHeight="1">
      <c r="A146" s="15"/>
      <c r="B146" s="15"/>
      <c r="C146" s="15"/>
      <c r="D146" s="15"/>
      <c r="E146" s="15"/>
      <c r="F146" s="15"/>
      <c r="G146" s="37"/>
      <c r="H146" s="3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4"/>
      <c r="AA146" s="14"/>
      <c r="AB146" s="14"/>
    </row>
    <row r="147" ht="15.75" customHeight="1">
      <c r="A147" s="15"/>
      <c r="B147" s="15"/>
      <c r="C147" s="15"/>
      <c r="D147" s="15"/>
      <c r="E147" s="15"/>
      <c r="F147" s="15"/>
      <c r="G147" s="37"/>
      <c r="H147" s="3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4"/>
      <c r="AA147" s="14"/>
      <c r="AB147" s="14"/>
    </row>
    <row r="148" ht="15.75" customHeight="1">
      <c r="A148" s="15"/>
      <c r="B148" s="15"/>
      <c r="C148" s="15"/>
      <c r="D148" s="15"/>
      <c r="E148" s="15"/>
      <c r="F148" s="15"/>
      <c r="G148" s="37"/>
      <c r="H148" s="3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4"/>
      <c r="AA148" s="14"/>
      <c r="AB148" s="14"/>
    </row>
    <row r="149" ht="15.75" customHeight="1">
      <c r="A149" s="15"/>
      <c r="B149" s="15"/>
      <c r="C149" s="15"/>
      <c r="D149" s="15"/>
      <c r="E149" s="15"/>
      <c r="F149" s="15"/>
      <c r="G149" s="37"/>
      <c r="H149" s="37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4"/>
      <c r="AA149" s="14"/>
      <c r="AB149" s="14"/>
    </row>
    <row r="150" ht="15.75" customHeight="1">
      <c r="A150" s="15"/>
      <c r="B150" s="15"/>
      <c r="C150" s="15"/>
      <c r="D150" s="15"/>
      <c r="E150" s="15"/>
      <c r="F150" s="15"/>
      <c r="G150" s="37"/>
      <c r="H150" s="37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4"/>
      <c r="AA150" s="14"/>
      <c r="AB150" s="14"/>
    </row>
    <row r="151" ht="15.75" customHeight="1">
      <c r="A151" s="15"/>
      <c r="B151" s="15"/>
      <c r="C151" s="15"/>
      <c r="D151" s="15"/>
      <c r="E151" s="15"/>
      <c r="F151" s="15"/>
      <c r="G151" s="37"/>
      <c r="H151" s="37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4"/>
      <c r="AA151" s="14"/>
      <c r="AB151" s="14"/>
    </row>
    <row r="152" ht="15.75" customHeight="1">
      <c r="A152" s="15"/>
      <c r="B152" s="15"/>
      <c r="C152" s="15"/>
      <c r="D152" s="15"/>
      <c r="E152" s="15"/>
      <c r="F152" s="15"/>
      <c r="G152" s="15"/>
      <c r="H152" s="37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37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37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37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37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37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37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37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37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37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37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37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37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37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37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37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37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37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37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37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37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37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37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37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37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37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37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37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37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37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37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G2"/>
    <mergeCell ref="B3:G3"/>
    <mergeCell ref="B4:G4"/>
    <mergeCell ref="B5:G5"/>
    <mergeCell ref="A10:I10"/>
    <mergeCell ref="A11:I11"/>
  </mergeCells>
  <conditionalFormatting sqref="F14:F55">
    <cfRule type="cellIs" dxfId="0" priority="1" operator="equal">
      <formula>"Pass"</formula>
    </cfRule>
  </conditionalFormatting>
  <conditionalFormatting sqref="F14:F55">
    <cfRule type="cellIs" dxfId="1" priority="2" operator="equal">
      <formula>"Fail"</formula>
    </cfRule>
  </conditionalFormatting>
  <conditionalFormatting sqref="F14:F55">
    <cfRule type="cellIs" dxfId="2" priority="3" operator="equal">
      <formula>"Pending"</formula>
    </cfRule>
  </conditionalFormatting>
  <dataValidations>
    <dataValidation type="list" allowBlank="1" sqref="F14 F16 F19:F21 F23:F29 F31 F34:F35 F37:F38 F41:F43 F46:F47 F50:F51 F53 F55">
      <formula1>$I$2:$I$7</formula1>
    </dataValidation>
    <dataValidation type="list" allowBlank="1" sqref="F15 F17:F18 F22 F30 F32:F33 F36 F39:F40 F44:F45 F48:F49 F52 F54">
      <formula1>$I$2:$I$7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0"/>
    <col customWidth="1" min="3" max="3" width="22.75"/>
    <col customWidth="1" min="4" max="6" width="12.63"/>
    <col customWidth="1" min="7" max="7" width="24.5"/>
    <col customWidth="1" min="9" max="9" width="19.5"/>
  </cols>
  <sheetData>
    <row r="1" ht="15.75" customHeight="1">
      <c r="A1" s="95"/>
      <c r="B1" s="124" t="s">
        <v>310</v>
      </c>
      <c r="C1" s="125"/>
      <c r="D1" s="125"/>
      <c r="E1" s="125"/>
      <c r="F1" s="125"/>
      <c r="G1" s="125"/>
      <c r="H1" s="126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ht="15.75" customHeight="1">
      <c r="A2" s="95"/>
      <c r="B2" s="95"/>
      <c r="C2" s="95"/>
      <c r="D2" s="95"/>
      <c r="E2" s="95"/>
      <c r="F2" s="95"/>
      <c r="G2" s="95"/>
      <c r="H2" s="127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ht="15.75" customHeight="1">
      <c r="A3" s="95"/>
      <c r="B3" s="128" t="s">
        <v>11</v>
      </c>
      <c r="C3" s="129" t="s">
        <v>312</v>
      </c>
      <c r="D3" s="20"/>
      <c r="E3" s="130" t="s">
        <v>22</v>
      </c>
      <c r="F3" s="20"/>
      <c r="G3" s="131" t="s">
        <v>23</v>
      </c>
      <c r="H3" s="132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15.75" customHeight="1">
      <c r="A4" s="95"/>
      <c r="B4" s="128" t="s">
        <v>27</v>
      </c>
      <c r="C4" s="129" t="s">
        <v>29</v>
      </c>
      <c r="D4" s="20"/>
      <c r="E4" s="130" t="s">
        <v>31</v>
      </c>
      <c r="F4" s="20"/>
      <c r="G4" s="131" t="s">
        <v>32</v>
      </c>
      <c r="H4" s="132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ht="15.75" customHeight="1">
      <c r="A5" s="95"/>
      <c r="B5" s="128" t="s">
        <v>38</v>
      </c>
      <c r="C5" s="129" t="s">
        <v>313</v>
      </c>
      <c r="D5" s="20"/>
      <c r="E5" s="130" t="s">
        <v>49</v>
      </c>
      <c r="F5" s="20"/>
      <c r="G5" s="134">
        <v>46322.0</v>
      </c>
      <c r="H5" s="13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ht="15.75" customHeight="1">
      <c r="A6" s="95"/>
      <c r="B6" s="128" t="s">
        <v>314</v>
      </c>
      <c r="C6" s="136" t="s">
        <v>315</v>
      </c>
      <c r="D6" s="18"/>
      <c r="E6" s="18"/>
      <c r="F6" s="18"/>
      <c r="G6" s="18"/>
      <c r="H6" s="20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ht="15.75" customHeight="1">
      <c r="A7" s="95"/>
      <c r="B7" s="95"/>
      <c r="C7" s="95"/>
      <c r="D7" s="95"/>
      <c r="E7" s="95"/>
      <c r="F7" s="95"/>
      <c r="G7" s="95"/>
      <c r="H7" s="127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15.75" customHeight="1">
      <c r="A8" s="95"/>
      <c r="B8" s="95"/>
      <c r="C8" s="95"/>
      <c r="D8" s="95"/>
      <c r="E8" s="95"/>
      <c r="F8" s="95"/>
      <c r="G8" s="95"/>
      <c r="H8" s="127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ht="15.75" customHeight="1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15.75" customHeight="1">
      <c r="A10" s="141"/>
      <c r="B10" s="142" t="s">
        <v>84</v>
      </c>
      <c r="C10" s="144" t="s">
        <v>316</v>
      </c>
      <c r="D10" s="146" t="s">
        <v>18</v>
      </c>
      <c r="E10" s="144" t="s">
        <v>30</v>
      </c>
      <c r="F10" s="144" t="s">
        <v>47</v>
      </c>
      <c r="G10" s="148" t="s">
        <v>317</v>
      </c>
      <c r="H10" s="151" t="s">
        <v>318</v>
      </c>
      <c r="I10" s="151" t="s">
        <v>319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141"/>
      <c r="B11" s="154">
        <v>1.0</v>
      </c>
      <c r="C11" s="157" t="s">
        <v>25</v>
      </c>
      <c r="D11" s="159">
        <f>'Tạo tài khoản hệ thống'!A7</f>
        <v>29</v>
      </c>
      <c r="E11" s="159">
        <f>'Tạo tài khoản hệ thống'!B7</f>
        <v>0</v>
      </c>
      <c r="F11" s="159">
        <f>'Tạo tài khoản hệ thống'!C7</f>
        <v>0</v>
      </c>
      <c r="G11" s="165">
        <f>'Tạo tài khoản hệ thống'!D7</f>
        <v>0</v>
      </c>
      <c r="H11" s="165">
        <f>'Tạo tài khoản hệ thống'!E7</f>
        <v>0</v>
      </c>
      <c r="I11" s="166">
        <f>'Tạo tài khoản hệ thống'!F7</f>
        <v>29</v>
      </c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141"/>
      <c r="B12" s="154">
        <v>2.0</v>
      </c>
      <c r="C12" s="157" t="s">
        <v>309</v>
      </c>
      <c r="D12" s="159">
        <f>'Tìm kiếm và chỉnh sửa tài khoản'!A7</f>
        <v>27</v>
      </c>
      <c r="E12" s="159">
        <f>'Tìm kiếm và chỉnh sửa tài khoản'!B7</f>
        <v>2</v>
      </c>
      <c r="F12" s="159">
        <f>'Tìm kiếm và chỉnh sửa tài khoản'!C7</f>
        <v>0</v>
      </c>
      <c r="G12" s="165">
        <f>'Tìm kiếm và chỉnh sửa tài khoản'!D7</f>
        <v>0</v>
      </c>
      <c r="H12" s="165">
        <f>'Tìm kiếm và chỉnh sửa tài khoản'!E7</f>
        <v>0</v>
      </c>
      <c r="I12" s="166">
        <f>'Tìm kiếm và chỉnh sửa tài khoản'!F7</f>
        <v>29</v>
      </c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141"/>
      <c r="B13" s="154">
        <v>3.0</v>
      </c>
      <c r="C13" s="157" t="s">
        <v>311</v>
      </c>
      <c r="D13" s="159">
        <f>'Quản lý danh mục hệ thống'!A7</f>
        <v>26</v>
      </c>
      <c r="E13" s="159">
        <f>'Quản lý danh mục hệ thống'!B7</f>
        <v>1</v>
      </c>
      <c r="F13" s="159">
        <f>'Quản lý danh mục hệ thống'!C7</f>
        <v>0</v>
      </c>
      <c r="G13" s="159">
        <f>'Quản lý danh mục hệ thống'!D7</f>
        <v>0</v>
      </c>
      <c r="H13" s="159">
        <f>'Quản lý danh mục hệ thống'!E7</f>
        <v>0</v>
      </c>
      <c r="I13" s="166">
        <f>'Quản lý danh mục hệ thống'!F7</f>
        <v>27</v>
      </c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141"/>
      <c r="B14" s="168"/>
      <c r="C14" s="138"/>
      <c r="D14" s="138"/>
      <c r="E14" s="138"/>
      <c r="F14" s="138"/>
      <c r="G14" s="169"/>
      <c r="H14" s="169"/>
      <c r="I14" s="170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141"/>
      <c r="B15" s="171"/>
      <c r="C15" s="172" t="s">
        <v>386</v>
      </c>
      <c r="D15" s="173">
        <f t="shared" ref="D15:I15" si="1">SUM(D9:D14)</f>
        <v>82</v>
      </c>
      <c r="E15" s="173">
        <f t="shared" si="1"/>
        <v>3</v>
      </c>
      <c r="F15" s="173">
        <f t="shared" si="1"/>
        <v>0</v>
      </c>
      <c r="G15" s="173">
        <f t="shared" si="1"/>
        <v>0</v>
      </c>
      <c r="H15" s="174">
        <f t="shared" si="1"/>
        <v>0</v>
      </c>
      <c r="I15" s="174">
        <f t="shared" si="1"/>
        <v>85</v>
      </c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95"/>
      <c r="B16" s="95"/>
      <c r="C16" s="95"/>
      <c r="D16" s="175"/>
      <c r="E16" s="176"/>
      <c r="F16" s="176"/>
      <c r="G16" s="176"/>
      <c r="H16" s="176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95"/>
      <c r="B17" s="95"/>
      <c r="C17" s="177" t="s">
        <v>408</v>
      </c>
      <c r="D17" s="95"/>
      <c r="E17" s="178">
        <f>IFERROR((D15+E15)*100/(I15-H15-G15),0)</f>
        <v>100</v>
      </c>
      <c r="F17" s="179" t="s">
        <v>421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95"/>
      <c r="B18" s="95"/>
      <c r="C18" s="177" t="s">
        <v>430</v>
      </c>
      <c r="D18" s="95"/>
      <c r="E18" s="178">
        <f>IFERROR(D15*100/(D15+E15),0)</f>
        <v>96.47058824</v>
      </c>
      <c r="F18" s="179" t="s">
        <v>421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7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1.0" footer="0.0" header="0.0" left="0.75" right="0.75" top="1.0"/>
  <pageSetup paperSize="9" orientation="portrait"/>
  <drawing r:id="rId1"/>
</worksheet>
</file>