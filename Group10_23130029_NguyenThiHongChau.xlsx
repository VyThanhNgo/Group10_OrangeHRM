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I_TAP_CAC_MON\DamBaoKiemThuPhanMem\PROJECT\OrangeHRM\"/>
    </mc:Choice>
  </mc:AlternateContent>
  <bookViews>
    <workbookView xWindow="0" yWindow="0" windowWidth="23040" windowHeight="9072" tabRatio="500" firstSheet="2" activeTab="6"/>
  </bookViews>
  <sheets>
    <sheet name="Cover" sheetId="1" r:id="rId1"/>
    <sheet name="Test case List" sheetId="2" r:id="rId2"/>
    <sheet name="TestDesign" sheetId="3" r:id="rId3"/>
    <sheet name="F07_TaoTimesheet" sheetId="4" r:id="rId4"/>
    <sheet name="F08_TraCuuTimesheet" sheetId="5" r:id="rId5"/>
    <sheet name="F09_GuiVaXuLy" sheetId="6" r:id="rId6"/>
    <sheet name="Test Report" sheetId="7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7" l="1"/>
  <c r="A6" i="4"/>
  <c r="B6" i="4"/>
  <c r="A42" i="4" l="1"/>
  <c r="C13" i="7" l="1"/>
  <c r="C12" i="7"/>
  <c r="C11" i="7"/>
  <c r="G5" i="7"/>
  <c r="C4" i="7"/>
  <c r="C5" i="7" s="1"/>
  <c r="C3" i="7"/>
  <c r="A44" i="6"/>
  <c r="A43" i="6"/>
  <c r="G107" i="3" s="1"/>
  <c r="A42" i="6"/>
  <c r="G106" i="3" s="1"/>
  <c r="A41" i="6"/>
  <c r="G105" i="3" s="1"/>
  <c r="A40" i="6"/>
  <c r="A39" i="6"/>
  <c r="A38" i="6"/>
  <c r="G102" i="3" s="1"/>
  <c r="A37" i="6"/>
  <c r="G101" i="3" s="1"/>
  <c r="A36" i="6"/>
  <c r="G100" i="3" s="1"/>
  <c r="A35" i="6"/>
  <c r="A34" i="6"/>
  <c r="G98" i="3" s="1"/>
  <c r="A33" i="6"/>
  <c r="G97" i="3" s="1"/>
  <c r="A32" i="6"/>
  <c r="G96" i="3" s="1"/>
  <c r="A31" i="6"/>
  <c r="G95" i="3" s="1"/>
  <c r="A30" i="6"/>
  <c r="G94" i="3" s="1"/>
  <c r="A29" i="6"/>
  <c r="G93" i="3" s="1"/>
  <c r="A28" i="6"/>
  <c r="G92" i="3" s="1"/>
  <c r="A27" i="6"/>
  <c r="A26" i="6"/>
  <c r="G90" i="3" s="1"/>
  <c r="A25" i="6"/>
  <c r="G89" i="3" s="1"/>
  <c r="A24" i="6"/>
  <c r="G88" i="3" s="1"/>
  <c r="A23" i="6"/>
  <c r="G87" i="3" s="1"/>
  <c r="A22" i="6"/>
  <c r="G86" i="3" s="1"/>
  <c r="A21" i="6"/>
  <c r="G85" i="3" s="1"/>
  <c r="A20" i="6"/>
  <c r="G84" i="3" s="1"/>
  <c r="A19" i="6"/>
  <c r="G83" i="3" s="1"/>
  <c r="A18" i="6"/>
  <c r="G82" i="3" s="1"/>
  <c r="A17" i="6"/>
  <c r="G81" i="3" s="1"/>
  <c r="A16" i="6"/>
  <c r="G80" i="3" s="1"/>
  <c r="A15" i="6"/>
  <c r="A14" i="6"/>
  <c r="A13" i="6"/>
  <c r="G77" i="3" s="1"/>
  <c r="A12" i="6"/>
  <c r="G76" i="3" s="1"/>
  <c r="A11" i="6"/>
  <c r="G75" i="3" s="1"/>
  <c r="A10" i="6"/>
  <c r="A9" i="6"/>
  <c r="G73" i="3" s="1"/>
  <c r="E6" i="6"/>
  <c r="H13" i="7" s="1"/>
  <c r="D6" i="6"/>
  <c r="G13" i="7" s="1"/>
  <c r="B6" i="6"/>
  <c r="E13" i="7" s="1"/>
  <c r="A6" i="6"/>
  <c r="D13" i="7" s="1"/>
  <c r="B4" i="6"/>
  <c r="A37" i="5"/>
  <c r="G72" i="3" s="1"/>
  <c r="A36" i="5"/>
  <c r="G71" i="3" s="1"/>
  <c r="A35" i="5"/>
  <c r="G70" i="3" s="1"/>
  <c r="A34" i="5"/>
  <c r="G69" i="3" s="1"/>
  <c r="A33" i="5"/>
  <c r="G68" i="3" s="1"/>
  <c r="A32" i="5"/>
  <c r="G67" i="3" s="1"/>
  <c r="A31" i="5"/>
  <c r="G66" i="3" s="1"/>
  <c r="A30" i="5"/>
  <c r="G65" i="3" s="1"/>
  <c r="A29" i="5"/>
  <c r="A28" i="5"/>
  <c r="A27" i="5"/>
  <c r="A26" i="5"/>
  <c r="G61" i="3" s="1"/>
  <c r="A25" i="5"/>
  <c r="A24" i="5"/>
  <c r="A23" i="5"/>
  <c r="G58" i="3" s="1"/>
  <c r="A22" i="5"/>
  <c r="A21" i="5"/>
  <c r="A20" i="5"/>
  <c r="G55" i="3" s="1"/>
  <c r="A19" i="5"/>
  <c r="G54" i="3" s="1"/>
  <c r="A18" i="5"/>
  <c r="G53" i="3" s="1"/>
  <c r="A17" i="5"/>
  <c r="G52" i="3" s="1"/>
  <c r="A16" i="5"/>
  <c r="A15" i="5"/>
  <c r="A14" i="5"/>
  <c r="G49" i="3" s="1"/>
  <c r="A13" i="5"/>
  <c r="G48" i="3" s="1"/>
  <c r="A12" i="5"/>
  <c r="G47" i="3" s="1"/>
  <c r="A11" i="5"/>
  <c r="G46" i="3" s="1"/>
  <c r="A10" i="5"/>
  <c r="G45" i="3" s="1"/>
  <c r="A9" i="5"/>
  <c r="E6" i="5"/>
  <c r="H12" i="7" s="1"/>
  <c r="D6" i="5"/>
  <c r="G12" i="7" s="1"/>
  <c r="B6" i="5"/>
  <c r="E12" i="7" s="1"/>
  <c r="A6" i="5"/>
  <c r="D12" i="7" s="1"/>
  <c r="B4" i="5"/>
  <c r="A50" i="4"/>
  <c r="G43" i="3" s="1"/>
  <c r="A49" i="4"/>
  <c r="G42" i="3" s="1"/>
  <c r="A48" i="4"/>
  <c r="G41" i="3" s="1"/>
  <c r="A47" i="4"/>
  <c r="G40" i="3" s="1"/>
  <c r="A46" i="4"/>
  <c r="G39" i="3" s="1"/>
  <c r="A45" i="4"/>
  <c r="G38" i="3" s="1"/>
  <c r="A44" i="4"/>
  <c r="G37" i="3" s="1"/>
  <c r="A43" i="4"/>
  <c r="G36" i="3" s="1"/>
  <c r="G35" i="3"/>
  <c r="A41" i="4"/>
  <c r="G34" i="3" s="1"/>
  <c r="A40" i="4"/>
  <c r="A39" i="4"/>
  <c r="A38" i="4"/>
  <c r="G31" i="3" s="1"/>
  <c r="A37" i="4"/>
  <c r="G30" i="3" s="1"/>
  <c r="A36" i="4"/>
  <c r="G29" i="3" s="1"/>
  <c r="A35" i="4"/>
  <c r="A34" i="4"/>
  <c r="G27" i="3" s="1"/>
  <c r="A33" i="4"/>
  <c r="G26" i="3" s="1"/>
  <c r="A32" i="4"/>
  <c r="G25" i="3" s="1"/>
  <c r="A31" i="4"/>
  <c r="G24" i="3" s="1"/>
  <c r="A30" i="4"/>
  <c r="G23" i="3" s="1"/>
  <c r="A29" i="4"/>
  <c r="G22" i="3" s="1"/>
  <c r="A28" i="4"/>
  <c r="G21" i="3" s="1"/>
  <c r="A27" i="4"/>
  <c r="G20" i="3" s="1"/>
  <c r="A26" i="4"/>
  <c r="G19" i="3" s="1"/>
  <c r="A25" i="4"/>
  <c r="A24" i="4"/>
  <c r="G17" i="3" s="1"/>
  <c r="A23" i="4"/>
  <c r="A22" i="4"/>
  <c r="A21" i="4"/>
  <c r="A20" i="4"/>
  <c r="A19" i="4"/>
  <c r="G12" i="3" s="1"/>
  <c r="A18" i="4"/>
  <c r="G11" i="3" s="1"/>
  <c r="A17" i="4"/>
  <c r="G10" i="3" s="1"/>
  <c r="A16" i="4"/>
  <c r="G9" i="3" s="1"/>
  <c r="A15" i="4"/>
  <c r="A14" i="4"/>
  <c r="G7" i="3" s="1"/>
  <c r="A13" i="4"/>
  <c r="G6" i="3" s="1"/>
  <c r="A12" i="4"/>
  <c r="G5" i="3" s="1"/>
  <c r="A11" i="4"/>
  <c r="G4" i="3" s="1"/>
  <c r="A10" i="4"/>
  <c r="G3" i="3" s="1"/>
  <c r="A9" i="4"/>
  <c r="G2" i="3" s="1"/>
  <c r="E6" i="4"/>
  <c r="H11" i="7" s="1"/>
  <c r="D6" i="4"/>
  <c r="G11" i="7" s="1"/>
  <c r="D11" i="7"/>
  <c r="B4" i="4"/>
  <c r="G108" i="3"/>
  <c r="G104" i="3"/>
  <c r="G103" i="3"/>
  <c r="G99" i="3"/>
  <c r="G91" i="3"/>
  <c r="G79" i="3"/>
  <c r="G78" i="3"/>
  <c r="G64" i="3"/>
  <c r="G63" i="3"/>
  <c r="G62" i="3"/>
  <c r="G60" i="3"/>
  <c r="G59" i="3"/>
  <c r="G57" i="3"/>
  <c r="G56" i="3"/>
  <c r="G51" i="3"/>
  <c r="G50" i="3"/>
  <c r="G44" i="3"/>
  <c r="G33" i="3"/>
  <c r="G32" i="3"/>
  <c r="G28" i="3"/>
  <c r="G18" i="3"/>
  <c r="G15" i="3"/>
  <c r="G14" i="3"/>
  <c r="G13" i="3"/>
  <c r="G8" i="3"/>
  <c r="D4" i="2"/>
  <c r="D3" i="2"/>
  <c r="C6" i="1"/>
  <c r="F6" i="5" l="1"/>
  <c r="F6" i="6"/>
  <c r="I13" i="7" s="1"/>
  <c r="G74" i="3"/>
  <c r="F6" i="4"/>
  <c r="E15" i="7"/>
  <c r="I11" i="7"/>
  <c r="C6" i="4"/>
  <c r="F11" i="7" s="1"/>
  <c r="C6" i="5"/>
  <c r="F12" i="7" s="1"/>
  <c r="I12" i="7"/>
  <c r="G15" i="7"/>
  <c r="D15" i="7"/>
  <c r="H15" i="7"/>
  <c r="G16" i="3"/>
  <c r="C6" i="6" l="1"/>
  <c r="F13" i="7" s="1"/>
  <c r="E18" i="7"/>
  <c r="F15" i="7"/>
  <c r="I15" i="7"/>
  <c r="E17" i="7" s="1"/>
</calcChain>
</file>

<file path=xl/sharedStrings.xml><?xml version="1.0" encoding="utf-8"?>
<sst xmlns="http://schemas.openxmlformats.org/spreadsheetml/2006/main" count="999" uniqueCount="430">
  <si>
    <t>TEST CASE</t>
  </si>
  <si>
    <t>Project Name</t>
  </si>
  <si>
    <t>OrangeHRM - Time (Timesheets)</t>
  </si>
  <si>
    <t>Creator</t>
  </si>
  <si>
    <t>Project Code</t>
  </si>
  <si>
    <t>OHRM-TIME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</si>
  <si>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</si>
  <si>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</si>
  <si>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</si>
  <si>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</si>
  <si>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</si>
  <si>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</si>
  <si>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</si>
  <si>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</si>
  <si>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</si>
  <si>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</si>
  <si>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</si>
  <si>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</si>
  <si>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Tạo mới Test Design và Test Case cho F07, F08, F09 (module Time)</t>
  </si>
  <si>
    <t>Bảng phân công module (TV3); OrangeHRM 5.x demo</t>
  </si>
  <si>
    <t>*A: Added, D: Deleted, M: Modified</t>
  </si>
  <si>
    <t>TEST CASE LIST</t>
  </si>
  <si>
    <t>Test Environment Setup Description</t>
  </si>
  <si>
    <t>1. Hệ thống: OrangeHRM 5.x bản demo (https://opensource-demo.orangehrmlive.com) hoặc bản cài local cùng phiên bản
2. Trình duyệt: Google Chrome bản mới nhất (tắt extension chặn script)
3. Tài khoản: Admin / admin123; ESS 'ess_test' (nhân viên 'Test Employee'); Supervisor 'sup_test' (nhân viên 'Test Supervisor', là supervisor của 'Test Employee'); nhân viên 'Test Employee2' (không phải cấp dưới của Supervisor)
4. Dữ liệu nền: Time &gt; Project Info có Customer 'CUS_Test'; Project 'PRJ_Alpha' (Activity 'Development', 'Testing'); Project 'PRJ_Beta' (Activity 'Support')
5. Kỳ timesheet tính theo tuần (Thứ Hai – Chủ Nhật); mọi test chạy ở kỳ hiện tại trừ khi ghi chú khác</t>
  </si>
  <si>
    <t>No</t>
  </si>
  <si>
    <t>Function Name</t>
  </si>
  <si>
    <t>Sheet Name</t>
  </si>
  <si>
    <t>Description</t>
  </si>
  <si>
    <t>Pre-Condition</t>
  </si>
  <si>
    <t>F07. Tạo timesheet</t>
  </si>
  <si>
    <t>F07_TaoTimesheet</t>
  </si>
  <si>
    <t>Nhân viên tạo timesheet tuần: chọn Project/Activity, nhập giờ từng ngày, comment, thêm/xóa hàng, lưu/hủy/reset.</t>
  </si>
  <si>
    <t>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</t>
  </si>
  <si>
    <t>F08. Tra cứu timesheet</t>
  </si>
  <si>
    <t>F08_TraCuuTimesheet</t>
  </si>
  <si>
    <t>Xem timesheet của bản thân (My Timesheets), tra cứu theo nhân viên (Employee Timesheets), danh sách Pending Action, điều hướng kỳ.</t>
  </si>
  <si>
    <t>+ Đăng nhập bằng tài khoản Admin (Admin / admin123)
+ 'Test Employee' có timesheet kỳ hiện tại trạng thái 'Submitted': PRJ_Alpha / Development, Mon–Fri mỗi ngày 08:00 (tổng 40:00)
+ 'Test Employee2' chưa có timesheet nào</t>
  </si>
  <si>
    <t>F09. Gửi và xử lý timesheet</t>
  </si>
  <si>
    <t>F09_GuiVaXuLy</t>
  </si>
  <si>
    <t>Nhân viên gửi (Submit) timesheet; Admin/Supervisor xem, phê duyệt (Approve), từ chối (Reject), reset; nhân viên sửa và gửi lại.</t>
  </si>
  <si>
    <t>+ Đăng nhập bằng tài khoản ESS 'ess_test' (liên kết nhân viên 'Test Employee')
+ 'Test Employee' có timesheet kỳ hiện tại trạng thái 'Not Submitted': PRJ_Alpha / Development, Thứ Hai–Thứ Sáu mỗi ngày 08:00 (tổng 40:00)
+ Có tài khoản Admin (Admin / admin123) để phê duyệt/từ chối</t>
  </si>
  <si>
    <t>Ghi chú</t>
  </si>
  <si>
    <t>- Result: Passed / Failed / Blocked / Skipped / Untested (chọn từ danh sách ở cột Result). Toàn bộ test case hiện ở trạng thái Untested; cột Test date và Note điền khi chạy test.</t>
  </si>
  <si>
    <t>- Cột Inter-test case Dependence: ghi ID test case phải chạy trước, hoặc vai trò đăng nhập cần dùng.</t>
  </si>
  <si>
    <t>- Expected Output dựa trên hành vi chuẩn của OrangeHRM 5.x. Test case có ghi chú 'Cần đối chiếu...' ở cột Note: so khớp thông báo/hành vi thực tế rồi cập nhật Expected Output nếu khác.</t>
  </si>
  <si>
    <t>- Loại test (TestDesign): Function, GUI, Boundary (giá trị biên), Negative (giá trị không hợp lệ), Security.</t>
  </si>
  <si>
    <t>Requirement Level 1</t>
  </si>
  <si>
    <t>Requirement Level 2</t>
  </si>
  <si>
    <t>Requirement Level 3</t>
  </si>
  <si>
    <t>Test Criteria</t>
  </si>
  <si>
    <t>Test Type</t>
  </si>
  <si>
    <t>Note</t>
  </si>
  <si>
    <t>Test Case ID</t>
  </si>
  <si>
    <t>7.1 Hiển thị màn hình tạo timesheet</t>
  </si>
  <si>
    <t>Displaying</t>
  </si>
  <si>
    <t>Kiểm tra hiển thị nút [Create Timesheet] khi nhân viên chưa có timesheet ở kỳ hiện tại</t>
  </si>
  <si>
    <t>Function</t>
  </si>
  <si>
    <t>Kiểm tra layout màn hình Edit Timesheet sau khi click [Create Timesheet]</t>
  </si>
  <si>
    <t>GUI</t>
  </si>
  <si>
    <t>Cần đối chiếu hành vi/thông báo thực tế trên OrangeHRM 5.x khi chạy test</t>
  </si>
  <si>
    <t>Kiểm tra giá trị mặc định trên màn hình Edit Timesheet</t>
  </si>
  <si>
    <t>7.2 Tạo timesheet - dữ liệu giờ</t>
  </si>
  <si>
    <t>Giá trị hợp lệ</t>
  </si>
  <si>
    <t>Kiểm tra tạo timesheet hợp lệ: 1 hàng, 1 ngày, giờ nhập dạng HH:MM (08:00)</t>
  </si>
  <si>
    <t>Kiểm tra nhập giờ dạng số nguyên '8' được chuẩn hóa thành 08:00</t>
  </si>
  <si>
    <t>Kiểm tra nhập giờ dạng thập phân '7.5' được chuẩn hóa thành 07:30</t>
  </si>
  <si>
    <t>Kiểm tra nhập giờ dạng H:MM '8:30'</t>
  </si>
  <si>
    <t>Kiểm tra tạo timesheet có giờ cho cả 7 ngày (mỗi ngày 08:00)</t>
  </si>
  <si>
    <t>Kiểm tra tạo timesheet nhiều hàng với 2 Project khác nhau</t>
  </si>
  <si>
    <t>Kiểm tra tạo timesheet nhiều hàng cùng Project nhưng khác Activity</t>
  </si>
  <si>
    <t>Kiểm tra thêm nhiều hàng bằng [Add Row]</t>
  </si>
  <si>
    <t>Kiểm tra xóa 1 hàng trước khi lưu</t>
  </si>
  <si>
    <t>Kiểm tra thêm comment hợp lệ cho ô giờ</t>
  </si>
  <si>
    <t>Kiểm tra click [Cancel] khi đang nhập dữ liệu</t>
  </si>
  <si>
    <t>Kiểm tra click [Reset] khi đang nhập dữ liệu</t>
  </si>
  <si>
    <t>Giá trị biên</t>
  </si>
  <si>
    <t>Kiểm tra biên dưới: nhập giờ = 00:00</t>
  </si>
  <si>
    <t>Boundary</t>
  </si>
  <si>
    <t>Kiểm tra biên dưới + 1 đơn vị: nhập giờ = 00:01</t>
  </si>
  <si>
    <t>Kiểm tra biên trên hợp lệ: nhập giờ = 23:59 cho 1 ngày</t>
  </si>
  <si>
    <t>Kiểm tra biên trên: nhập giờ = 24:00 cho 1 ngày</t>
  </si>
  <si>
    <t>Kiểm tra vượt biên trên: nhập giờ = 24:01</t>
  </si>
  <si>
    <t>Kiểm tra giá trị rất lớn: nhập giờ = 100</t>
  </si>
  <si>
    <t>Kiểm tra biên phút hợp lệ: nhập giờ = 08:59</t>
  </si>
  <si>
    <t>Kiểm tra vượt biên phút: nhập giờ = 08:60</t>
  </si>
  <si>
    <t>Kiểm tra tổng giờ trong 1 ngày qua nhiều hàng vượt 24:00 (12:00 + 13:00)</t>
  </si>
  <si>
    <t>Cần xác nhận: OrangeHRM có thể chỉ kiểm tra giới hạn trên từng ô, không kiểm tra tổng/ngày</t>
  </si>
  <si>
    <t>Kiểm tra comment dài đúng 250 ký tự</t>
  </si>
  <si>
    <t>Kiểm tra comment dài 251 ký tự (vượt biên)</t>
  </si>
  <si>
    <t>Giá trị không hợp lệ</t>
  </si>
  <si>
    <t>Kiểm tra lưu khi không chọn Project và Activity (đã nhập giờ)</t>
  </si>
  <si>
    <t>Negative</t>
  </si>
  <si>
    <t>Kiểm tra lưu khi đã chọn Project nhưng bỏ trống Activity</t>
  </si>
  <si>
    <t>Kiểm tra gõ Project Name nhưng không chọn từ danh sách gợi ý</t>
  </si>
  <si>
    <t>Kiểm tra Project Name không tồn tại ('PRJ_NotExist')</t>
  </si>
  <si>
    <t>Kiểm tra nhập giờ là chữ ('abc')</t>
  </si>
  <si>
    <t>Kiểm tra nhập giờ âm ('-1')</t>
  </si>
  <si>
    <t>Kiểm tra nhập giờ chứa ký tự đặc biệt ('8@#')</t>
  </si>
  <si>
    <t>Kiểm tra 2 hàng trùng cặp Project + Activity</t>
  </si>
  <si>
    <t>Kiểm tra lưu khi toàn bộ lưới để trống</t>
  </si>
  <si>
    <t>7.3 Ràng buộc, bảo mật và độ ổn định</t>
  </si>
  <si>
    <t>Constraint / Security</t>
  </si>
  <si>
    <t>Kiểm tra kỳ đã có timesheet thì không cho tạo trùng</t>
  </si>
  <si>
    <t>Kiểm tra dữ liệu vẫn được giữ sau khi đăng xuất và đăng nhập lại</t>
  </si>
  <si>
    <t>Kiểm tra nhấn đúp [Save] liên tiếp</t>
  </si>
  <si>
    <t>Kiểm tra XSS trong comment: &lt;script&gt;alert('xss')&lt;/script&gt;</t>
  </si>
  <si>
    <t>Security</t>
  </si>
  <si>
    <t>Kiểm tra SQL Injection tại ô Project Name: ' OR '1'='1</t>
  </si>
  <si>
    <t>Kiểm tra hết phiên đăng nhập (session timeout) khi đang lưu timesheet</t>
  </si>
  <si>
    <t>Kiểm tra truy cập trang Create Timesheet khi chưa đăng nhập</t>
  </si>
  <si>
    <t>8.1 Hiển thị màn hình tra cứu</t>
  </si>
  <si>
    <t>Kiểm tra truy cập My Timesheets hiển thị timesheet kỳ hiện tại của chính nhân viên</t>
  </si>
  <si>
    <t>Kiểm tra layout màn hình My Timesheets</t>
  </si>
  <si>
    <t>Kiểm tra truy cập Employee Timesheets bằng tài khoản Admin</t>
  </si>
  <si>
    <t>Kiểm tra layout màn hình Employee Timesheets</t>
  </si>
  <si>
    <t>Kiểm tra danh sách timesheet chờ xử lý (Pending Action) hiển thị đúng</t>
  </si>
  <si>
    <t>8.2 Tra cứu theo nhân viên</t>
  </si>
  <si>
    <t>Kiểm tra tìm theo tên nhân viên đầy đủ, chọn từ gợi ý rồi click [View]</t>
  </si>
  <si>
    <t>Kiểm tra gợi ý khi gõ một phần tên</t>
  </si>
  <si>
    <t>Kiểm tra tìm kiếm không phân biệt chữ hoa/thường ('test employee')</t>
  </si>
  <si>
    <t>Kiểm tra tên có khoảng trắng ở đầu/cuối ('  Test Employee  ')</t>
  </si>
  <si>
    <t>Kiểm tra xem timesheet từ danh sách Pending Action</t>
  </si>
  <si>
    <t>Kiểm tra dữ liệu chi tiết timesheet khớp với dữ liệu đã nhập</t>
  </si>
  <si>
    <t>Kiểm tra tổng giờ theo ngày và tổng giờ cả tuần tính đúng</t>
  </si>
  <si>
    <t>Kiểm tra nhân viên chỉ xem được timesheet của chính mình ở My Timesheets</t>
  </si>
  <si>
    <t>Điều hướng kỳ và giá trị biên</t>
  </si>
  <si>
    <t>Kiểm tra điều hướng sang kỳ (tuần) liền trước</t>
  </si>
  <si>
    <t>Kiểm tra điều hướng sang kỳ (tuần) liền sau</t>
  </si>
  <si>
    <t>Kiểm tra kỳ giao giữa hai năm (tuần chứa 31/12 và 01/01)</t>
  </si>
  <si>
    <t>Kiểm tra kỳ rất xa trong quá khứ (chưa có timesheet)</t>
  </si>
  <si>
    <t>Kiểm tra nhập 1 ký tự vào Employee Name (độ dài tối thiểu)</t>
  </si>
  <si>
    <t>Kiểm tra nhập chuỗi rất dài (≥ 100 ký tự) vào Employee Name</t>
  </si>
  <si>
    <t>Kiểm tra click [View] khi để trống Employee Name</t>
  </si>
  <si>
    <t>Kiểm tra tên nhân viên không tồn tại ('Nobody Existing')</t>
  </si>
  <si>
    <t>Kiểm tra gõ đúng tên nhưng không chọn từ danh sách gợi ý</t>
  </si>
  <si>
    <t>Kiểm tra nhập ký tự đặc biệt '@#$%^&amp;*' vào Employee Name</t>
  </si>
  <si>
    <t>Kiểm tra nhân viên chưa có timesheet ('Test Employee2')</t>
  </si>
  <si>
    <t>8.3 Phân quyền và bảo mật</t>
  </si>
  <si>
    <t>Kiểm tra SQL Injection tại Employee Name: ' OR 1=1 --</t>
  </si>
  <si>
    <t>Kiểm tra XSS tại Employee Name: &lt;script&gt;alert(1)&lt;/script&gt;</t>
  </si>
  <si>
    <t>Kiểm tra ESS (không phải supervisor) không truy cập được Employee Timesheets</t>
  </si>
  <si>
    <t>Kiểm tra ESS không xem được timesheet nhân viên khác bằng cách đổi ID trên URL</t>
  </si>
  <si>
    <t>Kiểm tra truy cập trang Employee Timesheets khi chưa đăng nhập</t>
  </si>
  <si>
    <t>9.1 Gửi timesheet (Submit)</t>
  </si>
  <si>
    <t>Kiểm tra gửi timesheet trạng thái 'Not Submitted' có dữ liệu hợp lệ</t>
  </si>
  <si>
    <t>Kiểm tra sau khi Submit, nhân viên không còn sửa được timesheet</t>
  </si>
  <si>
    <t>Kiểm tra lịch sử thao tác (Actions Performed) ghi nhận lần Submit</t>
  </si>
  <si>
    <t>Kiểm tra gửi timesheet có nhiều hàng Project/Activity</t>
  </si>
  <si>
    <t>Kiểm tra gửi timesheet của kỳ trong quá khứ</t>
  </si>
  <si>
    <t>Kiểm tra gửi timesheet có tổng giờ lớn nhất hợp lệ (7 ngày × 23:59)</t>
  </si>
  <si>
    <t>Kiểm tra gửi timesheet có tổng giờ = 00:00 (hàng có Project nhưng toàn bộ giờ = 0)</t>
  </si>
  <si>
    <t>Kiểm tra gửi timesheet có đúng 1 ô giờ nhỏ nhất (00:01)</t>
  </si>
  <si>
    <t>Kiểm tra gửi timesheet chưa có dữ liệu giờ (trống)</t>
  </si>
  <si>
    <t>Kiểm tra gửi lại timesheet đã 'Submitted' (nhấn Back/F5 rồi Submit)</t>
  </si>
  <si>
    <t>Kiểm tra nhấn đúp nút [Submit]</t>
  </si>
  <si>
    <t>Kiểm tra hết phiên đăng nhập khi đang Submit</t>
  </si>
  <si>
    <t>9.2 Phê duyệt / Từ chối (Approve / Reject)</t>
  </si>
  <si>
    <t>Kiểm tra Admin phê duyệt (Approve) timesheet đã Submitted</t>
  </si>
  <si>
    <t>Kiểm tra Approve kèm comment hợp lệ</t>
  </si>
  <si>
    <t>Kiểm tra Admin từ chối (Reject) timesheet kèm lý do</t>
  </si>
  <si>
    <t>Kiểm tra Reject khi không nhập comment</t>
  </si>
  <si>
    <t>Kiểm tra timesheet biến mất khỏi Pending Action sau khi Approve</t>
  </si>
  <si>
    <t>Kiểm tra nhân viên thấy trạng thái 'Approved' và không sửa được</t>
  </si>
  <si>
    <t>Kiểm tra nhân viên thấy trạng thái 'Rejected' và xem được lý do từ chối</t>
  </si>
  <si>
    <t>Kiểm tra nhân viên sửa timesheet bị Reject và gửi lại thành công</t>
  </si>
  <si>
    <t>Kiểm tra luồng end-to-end: gửi lại sau Reject rồi Admin Approve</t>
  </si>
  <si>
    <t>Kiểm tra lịch sử thao tác ghi đúng người thực hiện, hành động, thời gian</t>
  </si>
  <si>
    <t>Kiểm tra Reset timesheet đã Submitted/Approved trở về 'Not Submitted'</t>
  </si>
  <si>
    <t>Kiểm tra comment phê duyệt đúng 250 ký tự</t>
  </si>
  <si>
    <t>Kiểm tra comment phê duyệt 251 ký tự (vượt biên)</t>
  </si>
  <si>
    <t>Kiểm tra Pending Action khi không có timesheet nào chờ xử lý (0 bản ghi)</t>
  </si>
  <si>
    <t>Kiểm tra Pending Action khi có nhiều timesheet (&gt; 50 bản ghi, kiểm tra phân trang)</t>
  </si>
  <si>
    <t>Kiểm tra timesheet 'Not Submitted' không xuất hiện trong Pending Action</t>
  </si>
  <si>
    <t>Kiểm tra Approve timesheet đã được Approve ở tab khác (xung đột thao tác)</t>
  </si>
  <si>
    <t>Kiểm tra hết phiên đăng nhập khi đang Approve</t>
  </si>
  <si>
    <t>9.3 Phân quyền và bảo mật</t>
  </si>
  <si>
    <t>Kiểm tra ESS không có nút Approve/Reject trên timesheet của chính mình</t>
  </si>
  <si>
    <t>Kiểm tra ESS không truy cập được trang duyệt timesheet của người khác</t>
  </si>
  <si>
    <t>Kiểm tra Supervisor duyệt được timesheet của cấp dưới trực tiếp</t>
  </si>
  <si>
    <t>Kiểm tra Supervisor không xem/duyệt được timesheet của nhân viên không phải cấp dưới</t>
  </si>
  <si>
    <t>Kiểm tra XSS trong comment khi Approve/Reject: &lt;script&gt;alert('x')&lt;/script&gt;</t>
  </si>
  <si>
    <t>Kiểm tra SQL Injection trong comment: '; DROP TABLE ohrm_timesheet; --</t>
  </si>
  <si>
    <t>Module Code</t>
  </si>
  <si>
    <t>TIME_CreateTimesheet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</si>
  <si>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</si>
  <si>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</si>
  <si>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</si>
  <si>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</si>
  <si>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</si>
  <si>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</si>
  <si>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</si>
  <si>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</si>
  <si>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</si>
  <si>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</si>
  <si>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</si>
  <si>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</si>
  <si>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</si>
  <si>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</si>
  <si>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</si>
  <si>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</t>
  </si>
  <si>
    <t>1. Trang My Timesheets hiển thị kỳ (tuần) hiện tại từ Thứ Hai đến Chủ Nhật
2. Nút [Create Timesheet] được hiển thị; chưa có dòng dữ liệu giờ nào</t>
  </si>
  <si>
    <t>Đăng nhập với role ESS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</si>
  <si>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</t>
  </si>
  <si>
    <t>1. Màn hình Edit Timesheet hiển thị đúng kỳ timesheet
2. Có cột Project Name, Activity, 7 cột ngày (Mon–Sun), cột Total; có các nút [Add Row], [Cancel], [Reset], [Save]; căn chỉnh, font, nhãn hiển thị đúng</t>
  </si>
  <si>
    <t>2. Có 1 hàng trống; Project Name, Activity chưa chọn; các ô giờ để trống; tổng giờ = 00:00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</si>
  <si>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Click nút [Save]</t>
  </si>
  <si>
    <t>5. Hiển thị thông báo lưu thành công
6. Trở về My Timesheets: timesheet kỳ hiện tại có Mon = 08:00, Total = 08:00, trạng thái 'Not Submitted'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</si>
  <si>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'8' vào cột Tue
6. Click nút [Save]</t>
  </si>
  <si>
    <t>6. Lưu thành công; ô Tue hiển thị 08:00, Total = 08:00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</si>
  <si>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'7.5' vào cột Wed
6. Click nút [Save]</t>
  </si>
  <si>
    <t>6. Lưu thành công; ô Wed hiển thị 07:30, Total = 07:30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</si>
  <si>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'8:30' vào cột Thu
6. Click nút [Save]</t>
  </si>
  <si>
    <t>6. Lưu thành công; ô Thu hiển thị 08:30, Total = 08:30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</si>
  <si>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cả 7 cột Mon–Sun
6. Click nút [Save]</t>
  </si>
  <si>
    <t>6. Lưu thành công; tổng hàng = 56:00; tổng mỗi ngày = 08:00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</si>
  <si>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'04:00' vào cột Mon
6. Click [Add Row]
7. Tại Project Name gõ 'PRJ_B' và chọn 'PRJ_Beta' từ danh sách gợi ý
8. Chọn Activity = 'Support'
9. Nhập '04:00' vào cột Mon
10. Click nút [Save]</t>
  </si>
  <si>
    <t>10. Lưu thành công; 2 hàng hiển thị đúng; tổng ngày Mon = 08:00; tổng mỗi hàng = 04:00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</si>
  <si>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'03:00' vào cột Mon
6. Click [Add Row]
7. Tại Project Name gõ 'PRJ_A' và chọn 'PRJ_Alpha' từ danh sách gợi ý
8. Chọn Activity = 'Testing'
9. Nhập '05:00' vào cột Mon
10. Click nút [Save]</t>
  </si>
  <si>
    <t>10. Lưu thành công (2 cặp Project/Activity khác nhau); tổng ngày Mon = 08:00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</si>
  <si>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Click [Add Row] 3 lần</t>
  </si>
  <si>
    <t>3. Màn hình có tổng cộng 4 hàng trống, mỗi hàng đều có Project Name, Activity và 7 ô giờ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</si>
  <si>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Mon
6. Click [Add Row]
7. Tại Project Name gõ 'PRJ_B' và chọn 'PRJ_Beta' từ danh sách gợi ý
8. Chọn Activity = 'Support'
9. Nhập '02:00' vào Mon
10. Click biểu tượng xóa (thùng rác) ở hàng 2
11. Click nút [Save]</t>
  </si>
  <si>
    <t>11. Hàng 2 bị xóa khỏi lưới; sau khi lưu chỉ còn hàng 1 (Mon = 08:00)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</si>
  <si>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Click biểu tượng comment ở ô Mon, nhập 'Fix bug login', xác nhận
7. Click nút [Save]</t>
  </si>
  <si>
    <t>7. Lưu thành công; ô Mon có biểu tượng comment; mở lại hiển thị nội dung 'Fix bug login'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</si>
  <si>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Click [Cancel]</t>
  </si>
  <si>
    <t>6. Trở về trang My Timesheets; không có timesheet nào được tạo; vẫn hiển thị nút [Create Timesheet]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</si>
  <si>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Click [Reset]</t>
  </si>
  <si>
    <t>6. Toàn bộ dữ liệu vừa nhập bị xóa, màn hình trở về trạng thái ban đầu (1 hàng trống)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</si>
  <si>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'00:00' vào cột Mon
6. Click nút [Save]</t>
  </si>
  <si>
    <t>6. Giá trị 0 được chấp nhận và không báo lỗi định dạng; Total = 00:00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</si>
  <si>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'00:01' vào cột Mon
6. Click nút [Save]</t>
  </si>
  <si>
    <t>6. Lưu thành công; ô Mon hiển thị 00:01, Total = 00:01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</si>
  <si>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'23:59' vào cột Mon
6. Click nút [Save]</t>
  </si>
  <si>
    <t>6. Lưu thành công; ô Mon hiển thị 23:59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</si>
  <si>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'24:00' vào cột Mon
6. Click nút [Save]</t>
  </si>
  <si>
    <t>6. Hiển thị lỗi validation tại ô (ví dụ: 'Should be less than 24:00');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</si>
  <si>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'24:01' vào cột Mon
6. Click nút [Save]</t>
  </si>
  <si>
    <t>6. Hiển thị lỗi validation tại ô;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</si>
  <si>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'100' vào cột Mon
6. Click nút [Save]</t>
  </si>
  <si>
    <t>6. Hiển thị lỗi validation tại ô; không lưu; hệ thống không bị lỗi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</si>
  <si>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'08:59' vào cột Mon
6. Click nút [Save]</t>
  </si>
  <si>
    <t>6. Lưu thành công; ô Mon hiển thị 08:59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</si>
  <si>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'08:60' vào cột Mon
6. Click nút [Save]</t>
  </si>
  <si>
    <t>6. Hiển thị lỗi định dạng giờ tại ô;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</si>
  <si>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'12:00' vào cột Mon
6. Click [Add Row]
7. Tại Project Name gõ 'PRJ_B' và chọn 'PRJ_Beta' từ danh sách gợi ý
8. Chọn Activity = 'Support'
9. Nhập '13:00' vào cột Mon
10. Click nút [Save]</t>
  </si>
  <si>
    <t>10. Hệ thống không cho lưu hoặc cảnh báo tổng giờ/ngày vượt 24 giờ (theo nghiệp vụ hợp lý)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</si>
  <si>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Click biểu tượng comment ở ô Mon, nhập chuỗi 250 ký tự, xác nhận
7. Click nút [Save]</t>
  </si>
  <si>
    <t>7. Lưu thành công; comment hiển thị đầy đủ 250 ký tự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</si>
  <si>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Click biểu tượng comment ở ô Mon, nhập chuỗi 251 ký tự, xác nhận
7. Click nút [Save]</t>
  </si>
  <si>
    <t>7. Hiển thị lỗi vượt quá độ dài tối đa; không lưu comment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</si>
  <si>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Nhập '08:00' vào cột Mon, để trống Project Name và Activity
4. Click nút [Save]</t>
  </si>
  <si>
    <t>4. Hiển thị lỗi 'Required' tại Project Name và Activity;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</si>
  <si>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Chọn Project 'PRJ_Alpha', để trống Activity, nhập '08:00' vào cột Mon
4. Click nút [Save]</t>
  </si>
  <si>
    <t>4. Hiển thị lỗi 'Required' tại Activity;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</si>
  <si>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Gõ 'PRJ_Alp' vào Project Name (không chọn gợi ý), nhập '08:00' vào cột Mon
4. Click nút [Save]</t>
  </si>
  <si>
    <t>4. Hiển thị lỗi 'Invalid' tại Project Name;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</si>
  <si>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Gõ 'PRJ_NotExist' vào Project Name</t>
  </si>
  <si>
    <t>3. Danh sách gợi ý hiển thị 'No Records Found'; Activity không có dữ liệu; Save báo lỗi 'Invalid'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</si>
  <si>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'abc' vào cột Mon
6. Click nút [Save]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</si>
  <si>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'-1' vào cột Mon
6. Click nút [Save]</t>
  </si>
  <si>
    <t>6. Hiển thị lỗi định dạng/giá trị giờ tại ô;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</si>
  <si>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'8@#' vào cột Mon
6. Click nút [Save]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</si>
  <si>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'04:00' vào cột Mon
6. Click [Add Row]
7. Tại Project Name gõ 'PRJ_A' và chọn 'PRJ_Alpha' từ danh sách gợi ý
8. Chọn Activity = 'Development'
9. Nhập '04:00' vào cột Tue
10. Click nút [Save]</t>
  </si>
  <si>
    <t>10. Hiển thị lỗi trùng dữ liệu (ví dụ: 'Duplicate Records Found'); không lưu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</si>
  <si>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Click nút [Save]</t>
  </si>
  <si>
    <t>3. Hiển thị lỗi 'Required' tại hàng chưa nhập; không tạo timesheet</t>
  </si>
  <si>
    <t>Pre-condition:
+ Đăng nhập bằng tài khoản ESS 'ess_test' (liên kết nhân viên 'Test Employee')
+ Đã tạo timesheet cho kỳ hiện tại (đã chạy xong test case phụ thuộc)
Step:
1. Chọn menu Time &gt; Timesheets &gt; My Timesheets</t>
  </si>
  <si>
    <t>1. Kỳ hiện tại đã có timesheet: không hiển thị nút [Create Timesheet]; hiển thị nút [Edit]/[Submit]</t>
  </si>
  <si>
    <t>TIME_CreateTimesheet_04</t>
  </si>
  <si>
    <t>Pre-condition:
+ Đăng nhập bằng tài khoản ESS 'ess_test' (liên kết nhân viên 'Test Employee')
+ Đã tạo timesheet cho kỳ hiện tại
Step:
1. Đăng xuất
2. Đăng nhập lại bằng 'ess_test'
3. Chọn menu Time &gt; Timesheets &gt; My Timesheets</t>
  </si>
  <si>
    <t>3. Timesheet đã tạo vẫn hiển thị đúng dữ liệu giờ và trạng thái 'Not Submitted'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</si>
  <si>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Double-click nút [Save]</t>
  </si>
  <si>
    <t>6. Chỉ tạo 1 timesheet; không phát sinh timesheet/hàng trùng; không báo lỗi hệ thống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</si>
  <si>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Nhập comment &lt;script&gt;alert('xss')&lt;/script&gt; cho ô Mon
7. Click nút [Save]
8. Mở lại comment vừa lưu</t>
  </si>
  <si>
    <t>8. Script không được thực thi (không hiện alert); nội dung hiển thị dạng văn bản hoặc bị lọc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</si>
  <si>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Gõ ' OR '1'='1 vào Project Name
4. Click nút [Save]</t>
  </si>
  <si>
    <t>4. Không hiển thị lỗi hệ thống/SQL; không lộ dữ liệu; hiển thị 'No Records Found' / 'Invalid'</t>
  </si>
  <si>
    <t>Pre-condition:
+ Đăng nhập bằng tài khoản ESS 'ess_test' (liên kết nhân viên 'Test Employee')
+ Đã có dữ liệu dự án (Time &gt; Project Info): Customer 'CUS_Test'; Project 'PRJ_Alpha' (Activity: 'Development', 'Testing'); Project 'PRJ_Beta' (Activity: 'Support')
+ 'Test Employee' chưa có timesheet ở kỳ (tuần) hiện tại
Step:
1. Chọn menu Time &gt; Timesheets &gt; My Timesheets
2. Click nút [Create Timesheet]
3. Tại Project Name gõ 'PRJ_A' và chọn 'PRJ_Alpha' từ danh sách gợi ý
4. Chọn Activity = 'Development'
5. Nhập '08:00' vào cột Mon
6. Xóa cookie phiên / chờ hết phiên (hoặc đăng xuất ở tab khác)
7. Click nút [Save]</t>
  </si>
  <si>
    <t>7. Hệ thống chuyển về trang đăng nhập; timesheet không được tạo; không hiển thị lỗi hệ thống</t>
  </si>
  <si>
    <t>Pre-condition:
+ Chưa đăng nhập; biết URL trang My Timesheets (sao chép khi đã đăng nhập ở trình duyệt khác)
Step:
1. Mở trình duyệt mới (chưa đăng nhập), truy cập trực tiếp URL trang My Timesheets</t>
  </si>
  <si>
    <t>1. Hệ thống chuyển hướng về trang Login; không hiển thị dữ liệu timesheet</t>
  </si>
  <si>
    <t>TIME_SearchTimesheet</t>
  </si>
  <si>
    <t>Pre-condition:
+ Đăng nhập bằng tài khoản ESS 'ess_test' (liên kết nhân viên 'Test Employee')
+ 'Test Employee' có timesheet kỳ hiện tại trạng thái 'Submitted' (PRJ_Alpha / Development, Mon–Fri 08:00)
Step:
1. Chọn menu Time &gt; Timesheets &gt; My Timesheets</t>
  </si>
  <si>
    <t>1. Trang My Timesheets hiển thị kỳ hiện tại, trạng thái và dữ liệu giờ của chính nhân viên đang đăng nhập</t>
  </si>
  <si>
    <t>1. Hiển thị: kỳ timesheet và nút điều hướng kỳ trước/sau, trạng thái, bảng Project/Activity/7 ngày/Total, các nút thao tác theo trạng thái; căn chỉnh và nhãn đúng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</si>
  <si>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</t>
  </si>
  <si>
    <t>1. Màn hình Employee Timesheets hiển thị ô Employee Name (có gợi ý), nút [View] và danh sách timesheet chờ xử lý (nếu có)</t>
  </si>
  <si>
    <t>Đăng nhập với role Admin</t>
  </si>
  <si>
    <t>1. Nhãn, placeholder 'Type for hints...', nút [View] hiển thị đúng; căn chỉnh không bị vỡ</t>
  </si>
  <si>
    <t>1. Danh sách có timesheet 'Test Employee' kỳ hiện tại (trạng thái Submitted) với tên nhân viên, kỳ, nút [View]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</si>
  <si>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'Test Employee' vào Employee Name, chọn từ danh sách gợi ý
3. Click [View]</t>
  </si>
  <si>
    <t>3. Hiển thị timesheet của 'Test Employee' (kỳ hiện tại, trạng thái Submitted, 5 ngày × 08:00, tổng 40:00)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</si>
  <si>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'Test' vào Employee Name</t>
  </si>
  <si>
    <t>2. Danh sách gợi ý hiển thị các nhân viên có tên chứa 'Test' (gồm 'Test Employee', 'Test Employee2')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</si>
  <si>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'test employee' (chữ thường), chọn từ gợi ý
3. Click [View]</t>
  </si>
  <si>
    <t>3. Gợi ý vẫn hiển thị 'Test Employee'; [View] hiển thị đúng timesheet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</si>
  <si>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  Test Employee  ', chọn từ gợi ý (nếu có)
3. Click [View]</t>
  </si>
  <si>
    <t>3. Hệ thống bỏ qua khoảng trắng thừa và hiển thị đúng timesheet, hoặc không báo lỗi hệ thống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</si>
  <si>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Tại danh sách Pending Action, click [View] của 'Test Employee'</t>
  </si>
  <si>
    <t>2. Hiển thị chi tiết timesheet 'Test Employee', có thông tin kỳ, trạng thái, dữ liệu giờ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</si>
  <si>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Tìm và [View] timesheet của 'Test Employee'
3. Đối chiếu Project, Activity, giờ từng ngày, comment với dữ liệu gốc</t>
  </si>
  <si>
    <t>3. Dữ liệu hiển thị hoàn toàn khớp dữ liệu đã nhập (Project, Activity, giờ, comment)</t>
  </si>
  <si>
    <t>TIME_SearchTimesheet_06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</si>
  <si>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Tìm và [View] timesheet của 'Test Employee'</t>
  </si>
  <si>
    <t>2. Total theo từng ngày = 08:00 (Mon–Fri), 00:00 (Sat, Sun); tổng tuần = 40:00</t>
  </si>
  <si>
    <t>1. Chỉ hiển thị timesheet của 'Test Employee'; không có dữ liệu của nhân viên khác</t>
  </si>
  <si>
    <t>Pre-condition:
+ Đăng nhập bằng tài khoản ESS 'ess_test' (liên kết nhân viên 'Test Employee')
+ 'Test Employee' có timesheet kỳ hiện tại trạng thái 'Submitted' (PRJ_Alpha / Development, Mon–Fri 08:00)
Step:
1. Chọn menu Time &gt; Timesheets &gt; My Timesheets
2. Click nút mũi tên kỳ trước</t>
  </si>
  <si>
    <t>2. Hiển thị kỳ liền trước (lùi đúng 7 ngày), dữ liệu/trạng thái đúng với kỳ đó</t>
  </si>
  <si>
    <t>Pre-condition:
+ Đăng nhập bằng tài khoản ESS 'ess_test' (liên kết nhân viên 'Test Employee')
+ 'Test Employee' có timesheet kỳ hiện tại trạng thái 'Submitted' (PRJ_Alpha / Development, Mon–Fri 08:00)
Step:
1. Chọn menu Time &gt; Timesheets &gt; My Timesheets
2. Click nút mũi tên kỳ sau</t>
  </si>
  <si>
    <t>2. Hiển thị kỳ liền sau (tiến đúng 7 ngày) hoặc chặn/disable nếu kỳ tương lai chưa cho tạo</t>
  </si>
  <si>
    <t>Pre-condition:
+ Đăng nhập bằng tài khoản ESS 'ess_test' (liên kết nhân viên 'Test Employee')
Step:
1. Chọn menu Time &gt; Timesheets &gt; My Timesheets
2. Điều hướng đến kỳ chứa ngày 31/12 và 01/01 (ví dụ 28/12 – 03/01)</t>
  </si>
  <si>
    <t>2. Kỳ hiển thị đúng 7 ngày liên tục qua ranh giới năm; ngày/thứ không bị lệch</t>
  </si>
  <si>
    <t>Pre-condition:
+ Đăng nhập bằng tài khoản ESS 'ess_test' (liên kết nhân viên 'Test Employee')
Step:
1. Chọn menu Time &gt; Timesheets &gt; My Timesheets
2. Click kỳ trước liên tiếp nhiều lần (khoảng 52 lần ≈ 1 năm)</t>
  </si>
  <si>
    <t>2. Hệ thống không lỗi; kỳ không có timesheet hiển thị trạng thái trống / thông báo không có dữ liệu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</si>
  <si>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'T' vào Employee Name</t>
  </si>
  <si>
    <t>2. Danh sách gợi ý hiển thị các nhân viên phù hợp hoặc 'No Records Found'; không lỗi hệ thống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</si>
  <si>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chuỗi 100+ ký tự 'a' vào Employee Name
3. Click [View]</t>
  </si>
  <si>
    <t>3. Không có gợi ý ('No Records Found'); [View] báo 'Invalid'/giới hạn độ dài; hệ thống không bị lỗi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</si>
  <si>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Để trống Employee Name
3. Click [View]</t>
  </si>
  <si>
    <t>3. Hiển thị lỗi 'Required' tại Employee Name; không chuyển trang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</si>
  <si>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'Nobody Existing' vào Employee Name
3. Click [View]</t>
  </si>
  <si>
    <t>3. Gợi ý hiển thị 'No Records Found'; click [View] báo lỗi 'Invalid'; không hiển thị timesheet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</si>
  <si>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'Test Employee' nhưng không click chọn gợi ý
3. Click [View]</t>
  </si>
  <si>
    <t>3. Hiển thị lỗi 'Invalid' tại Employee Name; không chuyển trang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</si>
  <si>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'@#$%^&amp;*' vào Employee Name
3. Click [View]</t>
  </si>
  <si>
    <t>3. 'No Records Found' / lỗi 'Invalid'; không có lỗi hệ thống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</si>
  <si>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Chọn 'Test Employee2' từ gợi ý
3. Click [View]</t>
  </si>
  <si>
    <t>3. Hiển thị thông báo không có timesheet (ví dụ 'No Timesheets Found') hoặc timesheet trống; không lỗi hệ thống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</si>
  <si>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"' OR 1=1 --" vào Employee Name
3. Click [View]</t>
  </si>
  <si>
    <t>3. Không lỗi SQL/hệ thống; không lộ dữ liệu; hiển thị 'No Records Found' / 'Invalid'</t>
  </si>
  <si>
    <t>Pre-condition:
+ Đăng nhập bằng tài khoản Admin (Admin / admin123)
+ 'Test Employee' có timesheet kỳ hiện tại trạng thái 'Submitted': PRJ_Alpha / Development, Mon–Fri mỗi ngày 08:00 (tổng 40:00)
+ 'Test Employee2' chưa có timesheet nào
Step:
1. Chọn menu Time &gt; Timesheets &gt; Employee Timesheets
2. Gõ &lt;script&gt;alert(1)&lt;/script&gt; vào Employee Name
3. Click [View]</t>
  </si>
  <si>
    <t>3. Script không được thực thi; hiển thị 'No Records Found' / 'Invalid'</t>
  </si>
  <si>
    <t>Pre-condition:
+ Đăng nhập bằng tài khoản ESS 'ess_test' (liên kết nhân viên 'Test Employee') (không có cấp dưới)
+ 'Test Employee' có timesheet kỳ hiện tại trạng thái 'Submitted' (PRJ_Alpha / Development, Mon–Fri 08:00)
Step:
1. Kiểm tra menu Time &gt; Timesheets
2. Truy cập trực tiếp URL trang Employee Timesheets</t>
  </si>
  <si>
    <t>2. Menu chỉ có 'My Timesheets' (hoặc không có Employee Timesheets); truy cập URL bị từ chối/chuyển hướng</t>
  </si>
  <si>
    <t>Pre-condition:
+ Đăng nhập bằng tài khoản ESS 'ess_test' (liên kết nhân viên 'Test Employee')
+ 'Test Employee' có timesheet kỳ hiện tại trạng thái 'Submitted' (PRJ_Alpha / Development, Mon–Fri 08:00)
Step:
1. Chọn menu Time &gt; Timesheets &gt; My Timesheets
2. Sao chép URL, thay ID nhân viên bằng ID của nhân viên khác, truy cập URL</t>
  </si>
  <si>
    <t>2. Hệ thống từ chối truy cập hoặc quay về My Timesheets; không hiển thị dữ liệu của nhân viên khác</t>
  </si>
  <si>
    <t>Pre-condition:
+ Chưa đăng nhập; biết URL trang Employee Timesheets
Step:
1. Mở trình duyệt mới (chưa đăng nhập), truy cập trực tiếp URL Employee Timesheets</t>
  </si>
  <si>
    <t>1. Chuyển hướng về trang Login; không hiển thị dữ liệu</t>
  </si>
  <si>
    <t>TIME_SubmitProcess</t>
  </si>
  <si>
    <t>Pre-condition:
+ Đăng nhập bằng tài khoản ESS 'ess_test' (liên kết nhân viên 'Test Employee')
+ 'Test Employee' có timesheet kỳ hiện tại trạng thái 'Not Submitted': PRJ_Alpha / Development, Thứ Hai–Thứ Sáu mỗi ngày 08:00 (tổng 40:00)
Step:
1. Chọn menu Time &gt; Timesheets &gt; My Timesheets
2. Click nút [Submit]</t>
  </si>
  <si>
    <t>2. Hiển thị thông báo thành công; trạng thái chuyển sang 'Submitted'</t>
  </si>
  <si>
    <t>1. Nút [Edit]/[Submit] bị ẩn hoặc vô hiệu hóa; không thể sửa dữ liệu giờ</t>
  </si>
  <si>
    <t>TIME_SubmitProcess_01</t>
  </si>
  <si>
    <t>Pre-condition:
+ Đăng nhập bằng tài khoản ESS 'ess_test' (liên kết nhân viên 'Test Employee')
+ 'Test Employee' có timesheet kỳ hiện tại trạng thái 'Submitted' (PRJ_Alpha / Development, Mon–Fri 08:00)
Step:
1. Chọn menu Time &gt; Timesheets &gt; My Timesheets
2. Xem phần lịch sử thao tác của timesheet</t>
  </si>
  <si>
    <t>2. Có dòng 'Submitted' với đúng người thực hiện ('Test Employee'), ngày thực hiện đúng</t>
  </si>
  <si>
    <t>Pre-condition:
+ Đăng nhập bằng tài khoản ESS 'ess_test' (liên kết nhân viên 'Test Employee')
+ 'Test Employee' có timesheet 'Not Submitted' gồm 2 hàng: PRJ_Alpha/Development 04:00 Mon, PRJ_Beta/Support 04:00 Mon
Step:
1. Chọn menu Time &gt; Timesheets &gt; My Timesheets
2. Kiểm tra timesheet có 2 hàng (PRJ_Alpha/Development 04:00 Mon; PRJ_Beta/Support 04:00 Mon)
3. Click [Submit]</t>
  </si>
  <si>
    <t>3. Submit thành công; timesheet 'Submitted' giữ nguyên toàn bộ 2 hàng và dữ liệu giờ</t>
  </si>
  <si>
    <t>Pre-condition:
+ Đăng nhập bằng tài khoản ESS 'ess_test' (liên kết nhân viên 'Test Employee')
+ 'Test Employee' có timesheet 'Not Submitted' ở kỳ liền trước
Step:
1. Chọn menu Time &gt; Timesheets &gt; My Timesheets
2. Điều hướng đến kỳ trước có timesheet 'Not Submitted'
3. Click [Submit]</t>
  </si>
  <si>
    <t>3. Submit thành công (hoặc hệ thống từ chối theo quy định), không có lỗi hệ thống</t>
  </si>
  <si>
    <t>Pre-condition:
+ Đăng nhập bằng tài khoản ESS 'ess_test' (liên kết nhân viên 'Test Employee')
+ 'Test Employee' có timesheet 'Not Submitted' với 7 ngày, mỗi ngày 23:59
Step:
1. Chọn menu Time &gt; Timesheets &gt; My Timesheets
2. Click [Submit]</t>
  </si>
  <si>
    <t>2. Submit thành công; tổng giờ hiển thị đúng 167:53 (7 × 23:59)</t>
  </si>
  <si>
    <t>Pre-condition:
+ Đăng nhập bằng tài khoản ESS 'ess_test' (liên kết nhân viên 'Test Employee')
+ 'Test Employee' có timesheet 'Not Submitted' với 1 hàng, mọi giờ = 00:00
Step:
1. Chọn menu Time &gt; Timesheets &gt; My Timesheets
2. Click [Submit]</t>
  </si>
  <si>
    <t>2. Hệ thống cho phép gửi hoặc hiển thị cảnh báo; không lỗi hệ thống</t>
  </si>
  <si>
    <t>Pre-condition:
+ Đăng nhập bằng tài khoản ESS 'ess_test' (liên kết nhân viên 'Test Employee')
+ 'Test Employee' có timesheet 'Not Submitted' với 1 ô giờ 00:01
Step:
1. Chọn menu Time &gt; Timesheets &gt; My Timesheets
2. Click [Submit]</t>
  </si>
  <si>
    <t>2. Submit thành công; trạng thái 'Submitted'; tổng giờ = 00:01</t>
  </si>
  <si>
    <t>Pre-condition:
+ Đăng nhập bằng tài khoản ESS 'ess_test' (liên kết nhân viên 'Test Employee')
+ 'Test Employee' có timesheet 'Not Submitted' nhưng chưa có dữ liệu giờ
Step:
1. Chọn menu Time &gt; Timesheets &gt; My Timesheets
2. Thử click [Submit] (nếu nút khả dụng)</t>
  </si>
  <si>
    <t>2. Hệ thống không cho gửi (nút bị vô hiệu hóa) hoặc báo lỗi; trạng thái vẫn 'Not Submitted'</t>
  </si>
  <si>
    <t>Pre-condition:
+ Đăng nhập bằng tài khoản ESS 'ess_test' (liên kết nhân viên 'Test Employee')
+ 'Test Employee' có timesheet kỳ hiện tại trạng thái 'Submitted' (PRJ_Alpha / Development, Mon–Fri 08:00)
Step:
1. Chọn menu Time &gt; Timesheets &gt; My Timesheets
2. Nhấn nút Back của trình duyệt về trang trước khi Submit
3. Click [Submit] lần nữa</t>
  </si>
  <si>
    <t>3. Không gửi trùng; trạng thái vẫn 'Submitted'; không báo lỗi hệ thống</t>
  </si>
  <si>
    <t>Pre-condition:
+ Đăng nhập bằng tài khoản ESS 'ess_test' (liên kết nhân viên 'Test Employee')
+ 'Test Employee' có timesheet kỳ hiện tại trạng thái 'Not Submitted': PRJ_Alpha / Development, Thứ Hai–Thứ Sáu mỗi ngày 08:00 (tổng 40:00)
Step:
1. Chọn menu Time &gt; Timesheets &gt; My Timesheets
2. Double-click nút [Submit]</t>
  </si>
  <si>
    <t>2. Chỉ ghi nhận 1 lần Submit (1 dòng lịch sử); trạng thái 'Submitted'</t>
  </si>
  <si>
    <t>Pre-condition:
+ Đăng nhập bằng tài khoản ESS 'ess_test' (liên kết nhân viên 'Test Employee')
+ 'Test Employee' có timesheet kỳ hiện tại trạng thái 'Not Submitted': PRJ_Alpha / Development, Thứ Hai–Thứ Sáu mỗi ngày 08:00 (tổng 40:00)
Step:
1. Chọn menu Time &gt; Timesheets &gt; My Timesheets
2. Xóa cookie phiên/đăng xuất ở tab khác
3. Click [Submit]</t>
  </si>
  <si>
    <t>3. Chuyển về trang Login; trạng thái timesheet vẫn 'Not Submitted'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</si>
  <si>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Click [View] của 'Test Employee' tại Pending Action
3. Click [Approve]</t>
  </si>
  <si>
    <t>3. Hiển thị thông báo thành công; trạng thái chuyển 'Approved'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</si>
  <si>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Click [View] của 'Test Employee'
3. Nhập comment 'Đã kiểm tra, đồng ý'
4. Click [Approve]</t>
  </si>
  <si>
    <t>4. Approve thành công; lịch sử thao tác hiển thị 'Approved' kèm comment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</si>
  <si>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Click [View] của 'Test Employee'
3. Nhập comment 'Sai giờ ngày Thứ Ba'
4. Click [Reject]</t>
  </si>
  <si>
    <t>4. Hiển thị thông báo thành công; trạng thái chuyển 'Rejected'; lịch sử có dòng 'Rejected' kèm lý do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</si>
  <si>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Click [View] của 'Test Employee'
3. Để trống comment
4. Click [Reject]</t>
  </si>
  <si>
    <t>4. Reject thành công (comment không bắt buộc) hoặc báo yêu cầu nhập lý do – theo đặc tả thực tế</t>
  </si>
  <si>
    <t>Pre-condition:
+ Đăng nhập bằng tài khoản Admin (Admin / admin123)
+ Đã Approve timesheet kỳ hiện tại của 'Test Employee'
Step:
1. Chọn menu Time &gt; Timesheets &gt; Employee Timesheets</t>
  </si>
  <si>
    <t>1. Timesheet 'Test Employee' không còn trong danh sách Pending Action</t>
  </si>
  <si>
    <t>TIME_SubmitProcess_13</t>
  </si>
  <si>
    <t>Pre-condition:
+ Đăng nhập bằng tài khoản ESS 'ess_test' (liên kết nhân viên 'Test Employee')
+ Timesheet kỳ hiện tại đã được Approve
Step:
1. Chọn menu Time &gt; Timesheets &gt; My Timesheets</t>
  </si>
  <si>
    <t>1. Trạng thái 'Approved'; các nút [Edit]/[Submit] bị ẩn hoặc vô hiệu hóa</t>
  </si>
  <si>
    <t>Pre-condition:
+ Đăng nhập bằng tài khoản ESS 'ess_test' (liên kết nhân viên 'Test Employee')
+ Timesheet kỳ hiện tại đã bị Reject kèm comment
Step:
1. Chọn menu Time &gt; Timesheets &gt; My Timesheets
2. Xem lịch sử thao tác</t>
  </si>
  <si>
    <t>2. Trạng thái 'Rejected'; hiển thị comment lý do từ chối</t>
  </si>
  <si>
    <t>TIME_SubmitProcess_15</t>
  </si>
  <si>
    <t>Pre-condition:
+ Đăng nhập bằng tài khoản ESS 'ess_test' (liên kết nhân viên 'Test Employee')
+ Timesheet kỳ hiện tại đã bị Reject
Step:
1. Chọn menu Time &gt; Timesheets &gt; My Timesheets
2. Click [Edit], sửa giờ Thứ Ba thành 07:00
3. Click nút [Save]
4. Click [Submit]</t>
  </si>
  <si>
    <t>4. Lưu và Submit thành công; trạng thái trở lại 'Submitted'; lịch sử ghi nhận lần gửi lại</t>
  </si>
  <si>
    <t>Pre-condition:
+ Đăng nhập bằng tài khoản Admin (Admin / admin123)
+ Timesheet 'Test Employee' đã gửi lại sau khi bị Reject
Step:
1. Chọn menu Time &gt; Timesheets &gt; Employee Timesheets
2. Click [View] timesheet 'Test Employee' (đã gửi lại)
3. Click [Approve]</t>
  </si>
  <si>
    <t>3. Trạng thái 'Approved'; lịch sử thể hiện đủ chuỗi Submitted → Rejected → Submitted → Approved</t>
  </si>
  <si>
    <t>TIME_SubmitProcess_20</t>
  </si>
  <si>
    <t>Pre-condition:
+ Đăng nhập bằng tài khoản Admin (Admin / admin123)
+ Timesheet đã trải qua Submit/Reject/Approve
Step:
1. Chọn menu Time &gt; Timesheets &gt; Employee Timesheets
2. [View] timesheet 'Test Employee' và xem lịch sử thao tác</t>
  </si>
  <si>
    <t>2. Mỗi dòng có đúng: hành động, người thực hiện (Admin / Test Employee), ngày giờ, comment</t>
  </si>
  <si>
    <t>TIME_SubmitProcess_21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</si>
  <si>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[View] timesheet 'Test Employee'
3. Click [Reset] và xác nhận</t>
  </si>
  <si>
    <t>3. Trạng thái trở về 'Not Submitted'; nhân viên sửa/gửi lại được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</si>
  <si>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[View] timesheet 'Test Employee'
3. Nhập comment 250 ký tự
4. Click [Approve]</t>
  </si>
  <si>
    <t>4. Approve thành công; comment lưu đầy đủ 250 ký tự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</si>
  <si>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[View] timesheet 'Test Employee'
3. Nhập comment 251 ký tự
4. Click [Approve]</t>
  </si>
  <si>
    <t>4. Hiển thị lỗi vượt quá độ dài tối đa; không Approve; trạng thái vẫn 'Submitted'</t>
  </si>
  <si>
    <t>Pre-condition:
+ Đăng nhập bằng tài khoản Admin (Admin / admin123)
+ Không có timesheet nào ở trạng thái 'Submitted'
Step:
1. Chọn menu Time &gt; Timesheets &gt; Employee Timesheets</t>
  </si>
  <si>
    <t>1. Hiển thị thông báo không có bản ghi ('No Records Found'); không lỗi hệ thống</t>
  </si>
  <si>
    <t>Pre-condition:
+ Đăng nhập bằng tài khoản Admin (Admin / admin123)
+ Có hơn 50 timesheet 'Submitted' của các nhân viên khác nhau
Step:
1. Chọn menu Time &gt; Timesheets &gt; Employee Timesheets
2. Cuộn/chuyển trang danh sách Pending Action</t>
  </si>
  <si>
    <t>2. Hiển thị đầy đủ các bản ghi, phân trang/cuộn hoạt động đúng; không mất dữ liệu</t>
  </si>
  <si>
    <t>Pre-condition:
+ Đăng nhập bằng tài khoản Admin (Admin / admin123)
+ 'Test Employee' có timesheet kỳ hiện tại trạng thái 'Not Submitted': PRJ_Alpha / Development, Thứ Hai–Thứ Sáu mỗi ngày 08:00 (tổng 40:00)
Step:
1. Chọn menu Time &gt; Timesheets &gt; Employee Timesheets</t>
  </si>
  <si>
    <t>1. Timesheet chưa gửi của 'Test Employee' không có trong Pending Action</t>
  </si>
  <si>
    <t>Pre-condition:
+ Đăng nhập bằng tài khoản Admin (Admin / admin123)
+ 'Test Employee' có timesheet kỳ hiện tại trạng thái 'Submitted' (PRJ_Alpha / Development, Mon–Fri 08:00)
Step:
1. Mở timesheet 'Test Employee' ở 2 tab
2. Ở tab 1 click [Approve]
3. Ở tab 2 (chưa tải lại) click [Approve]</t>
  </si>
  <si>
    <t>3. Tab 2 không tạo thêm bản ghi Approve; hiển thị thông báo/lỗi phù hợp; trạng thái vẫn 'Approved'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</si>
  <si>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[View] timesheet 'Test Employee'
3. Xóa cookie phiên/đăng xuất ở tab khác
4. Click [Approve]</t>
  </si>
  <si>
    <t>4. Chuyển về trang Login; trạng thái timesheet vẫn 'Submitted'</t>
  </si>
  <si>
    <t>1. Không hiển thị nút [Approve], [Reject] cho nhân viên thường</t>
  </si>
  <si>
    <t>Pre-condition:
+ Đăng nhập bằng tài khoản ESS 'ess_test' (liên kết nhân viên 'Test Employee') (không có cấp dưới)
+ 'Test Employee' có timesheet kỳ hiện tại trạng thái 'Submitted' (PRJ_Alpha / Development, Mon–Fri 08:00)
Step:
1. Truy cập trực tiếp URL xem timesheet của nhân viên khác (đổi ID nhân viên)</t>
  </si>
  <si>
    <t>1. Hệ thống từ chối/chuyển hướng; không hiển thị dữ liệu</t>
  </si>
  <si>
    <t>Pre-condition:
+ Đăng nhập tài khoản 'sup_test' (nhân viên 'Test Supervisor', là Supervisor trực tiếp của 'Test Employee')
+ 'Test Employee' có timesheet kỳ hiện tại trạng thái 'Submitted' (PRJ_Alpha / Development, Mon–Fri 08:00)
Step:
1. Chọn menu Time &gt; Timesheets &gt; Employee Timesheets
2. [View] timesheet của 'Test Employee' (cấp dưới)
3. Click [Approve]</t>
  </si>
  <si>
    <t>3. Approve thành công; trạng thái 'Approved'</t>
  </si>
  <si>
    <t>Đăng nhập với role Supervisor</t>
  </si>
  <si>
    <t>Pre-condition:
+ Đăng nhập 'sup_test' (Supervisor của 'Test Employee' nhưng không phải của 'Test Employee2')
+ 'Test Employee2' có timesheet 'Submitted'
Step:
1. Chọn menu Time &gt; Timesheets &gt; Employee Timesheets
2. Gõ tên 'Test Employee2' (không phải cấp dưới) vào Employee Name</t>
  </si>
  <si>
    <t>2. Nhân viên không nằm trong gợi ý hoặc không xem được timesheet; không có quyền Approve/Reject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</si>
  <si>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[View] timesheet 'Test Employee'
3. Nhập comment &lt;script&gt;alert('x')&lt;/script&gt;
4. Click [Reject]
5. Mở lại lịch sử thao tác</t>
  </si>
  <si>
    <t>5. Script không được thực thi; comment hiển thị dạng văn bản hoặc bị lọc</t>
  </si>
  <si>
    <t>Pre-condition:
+ Đăng nhập bằng tài khoản Admin (Admin / admin123)
+ 'Test Employee' có timesheet kỳ hiện tại trạng thái 'Submitted' (PRJ_Alpha / Development, Mon–Fri 08:00)
Step:
1. Chọn menu Time &gt; Timesheets &gt; Employee Timesheets
2. [View] timesheet 'Test Employee'
3. Nhập comment "'; DROP TABLE ohrm_timesheet; --"
4. Click [Reject]</t>
  </si>
  <si>
    <t>4. Comment được lưu như văn bản thuần; hệ thống không lỗi; dữ liệu timesheet không bị ảnh hưởng</t>
  </si>
  <si>
    <t>TEST REPORT</t>
  </si>
  <si>
    <t>Notes</t>
  </si>
  <si>
    <t>Báo cáo kết quả test module Time – 3 chức năng của TV3: F07 Tạo timesheet, F08 Tra cứu timesheet, F09 Gửi và xử lý timesheet</t>
  </si>
  <si>
    <t>Module code</t>
  </si>
  <si>
    <t>Pass</t>
  </si>
  <si>
    <t>Fail</t>
  </si>
  <si>
    <t>Number of test cases</t>
  </si>
  <si>
    <t>Sub total</t>
  </si>
  <si>
    <t>Test coverage</t>
  </si>
  <si>
    <t>%</t>
  </si>
  <si>
    <t>Test successful coverage</t>
  </si>
  <si>
    <t>Ghi chú: các công thức coverage trả về 0 khi chưa có test case nào được chạy (tránh lỗi chia cho 0).</t>
  </si>
  <si>
    <t>Nguyễn Thị Hồng Châu</t>
  </si>
  <si>
    <t>Ngô Thanh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</si>
</sst>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sz val="10"/>
      <color rgb="FF008000"/>
      <name val="Tahoma"/>
      <charset val="1"/>
    </font>
    <font>
      <b/>
      <sz val="12"/>
      <color rgb="FF000000"/>
      <name val="Tahoma"/>
      <charset val="1"/>
    </font>
    <font>
      <b/>
      <sz val="10"/>
      <color rgb="FFFFFFFF"/>
      <name val="Tahoma"/>
      <charset val="1"/>
    </font>
    <font>
      <sz val="9"/>
      <color rgb="FF666666"/>
      <name val="Tahoma"/>
      <charset val="1"/>
    </font>
    <font>
      <sz val="10"/>
      <color rgb="FF000000"/>
      <name val="Tahoma"/>
      <charset val="1"/>
    </font>
    <font>
      <u/>
      <sz val="10"/>
      <color rgb="FF0000FF"/>
      <name val="Tahoma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00"/>
      <name val="Tahoma"/>
      <charset val="1"/>
    </font>
    <font>
      <b/>
      <sz val="10"/>
      <color rgb="FF0000FF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0" xfId="0" applyFont="1"/>
    <xf numFmtId="0" fontId="1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2" fillId="0" borderId="0" xfId="0" applyFont="1"/>
    <xf numFmtId="0" fontId="9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7" fillId="0" borderId="0" xfId="0" applyFont="1"/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165" fontId="12" fillId="0" borderId="0" xfId="0" applyNumberFormat="1" applyFont="1" applyAlignment="1">
      <alignment horizontal="right"/>
    </xf>
    <xf numFmtId="0" fontId="12" fillId="0" borderId="0" xfId="0" applyFont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vertical="top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OrangeHRM_TV3_Time_TestDesign_TestCase.xlsx" TargetMode="External"/><Relationship Id="rId2" Type="http://schemas.openxmlformats.org/officeDocument/2006/relationships/hyperlink" Target="OrangeHRM_TV3_Time_TestDesign_TestCase.xlsx" TargetMode="External"/><Relationship Id="rId1" Type="http://schemas.openxmlformats.org/officeDocument/2006/relationships/hyperlink" Target="OrangeHRM_TV3_Time_TestDesign_TestCa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showGridLines="0" zoomScaleNormal="100" workbookViewId="0">
      <selection activeCell="G5" sqref="G5"/>
    </sheetView>
  </sheetViews>
  <sheetFormatPr defaultColWidth="8.6640625" defaultRowHeight="14.4" x14ac:dyDescent="0.3"/>
  <cols>
    <col min="1" max="1" width="2.5546875" customWidth="1"/>
    <col min="2" max="2" width="22.44140625" customWidth="1"/>
    <col min="3" max="3" width="12" customWidth="1"/>
    <col min="4" max="4" width="18" customWidth="1"/>
    <col min="5" max="5" width="10" customWidth="1"/>
    <col min="6" max="7" width="40" customWidth="1"/>
    <col min="8" max="8" width="9" customWidth="1"/>
  </cols>
  <sheetData>
    <row r="2" spans="2:7" ht="36" customHeight="1" x14ac:dyDescent="0.3">
      <c r="B2" s="31" t="s">
        <v>0</v>
      </c>
      <c r="C2" s="31"/>
      <c r="D2" s="31"/>
      <c r="E2" s="31"/>
      <c r="F2" s="31"/>
      <c r="G2" s="31"/>
    </row>
    <row r="4" spans="2:7" ht="15" customHeight="1" x14ac:dyDescent="0.3">
      <c r="B4" s="1" t="s">
        <v>1</v>
      </c>
      <c r="C4" s="32" t="s">
        <v>2</v>
      </c>
      <c r="D4" s="32"/>
      <c r="E4" s="32"/>
      <c r="F4" s="1" t="s">
        <v>3</v>
      </c>
      <c r="G4" s="2" t="s">
        <v>428</v>
      </c>
    </row>
    <row r="5" spans="2:7" ht="15" customHeight="1" x14ac:dyDescent="0.3">
      <c r="B5" s="1" t="s">
        <v>4</v>
      </c>
      <c r="C5" s="32" t="s">
        <v>5</v>
      </c>
      <c r="D5" s="32"/>
      <c r="E5" s="32"/>
      <c r="F5" s="1" t="s">
        <v>6</v>
      </c>
      <c r="G5" s="2" t="s">
        <v>429</v>
      </c>
    </row>
    <row r="6" spans="2:7" ht="15" customHeight="1" x14ac:dyDescent="0.3">
      <c r="B6" s="33" t="s">
        <v>7</v>
      </c>
      <c r="C6" s="32" t="str">
        <f>C5&amp;"_TestCase_V0.1"</f>
        <v>OHRM-TIME_TestCase_V0.1</v>
      </c>
      <c r="D6" s="32"/>
      <c r="E6" s="32"/>
      <c r="F6" s="1" t="s">
        <v>8</v>
      </c>
      <c r="G6" s="3">
        <v>46322</v>
      </c>
    </row>
    <row r="7" spans="2:7" x14ac:dyDescent="0.3">
      <c r="B7" s="33"/>
      <c r="C7" s="33"/>
      <c r="D7" s="32"/>
      <c r="E7" s="32"/>
      <c r="F7" s="1" t="s">
        <v>9</v>
      </c>
      <c r="G7" s="2">
        <v>0.1</v>
      </c>
    </row>
    <row r="10" spans="2:7" ht="15.6" x14ac:dyDescent="0.3">
      <c r="B10" s="4" t="s">
        <v>10</v>
      </c>
    </row>
    <row r="11" spans="2:7" x14ac:dyDescent="0.3">
      <c r="B11" s="5" t="s">
        <v>11</v>
      </c>
      <c r="C11" s="5" t="s">
        <v>9</v>
      </c>
      <c r="D11" s="5" t="s">
        <v>12</v>
      </c>
      <c r="E11" s="5" t="s">
        <v>13</v>
      </c>
      <c r="F11" s="5" t="s">
        <v>14</v>
      </c>
      <c r="G11" s="5" t="s">
        <v>15</v>
      </c>
    </row>
    <row r="12" spans="2:7" ht="30" customHeight="1" x14ac:dyDescent="0.3">
      <c r="B12" s="6">
        <v>46322</v>
      </c>
      <c r="C12" s="7" t="s">
        <v>16</v>
      </c>
      <c r="D12" s="8"/>
      <c r="E12" s="7" t="s">
        <v>17</v>
      </c>
      <c r="F12" s="8" t="s">
        <v>18</v>
      </c>
      <c r="G12" s="8" t="s">
        <v>19</v>
      </c>
    </row>
    <row r="14" spans="2:7" x14ac:dyDescent="0.3">
      <c r="B14" s="9" t="s">
        <v>20</v>
      </c>
    </row>
  </sheetData>
  <mergeCells count="5">
    <mergeCell ref="B2:G2"/>
    <mergeCell ref="C4:E4"/>
    <mergeCell ref="C5:E5"/>
    <mergeCell ref="B6:B7"/>
    <mergeCell ref="C6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showGridLines="0" zoomScaleNormal="100" workbookViewId="0"/>
  </sheetViews>
  <sheetFormatPr defaultColWidth="8.6640625" defaultRowHeight="14.4" x14ac:dyDescent="0.3"/>
  <cols>
    <col min="1" max="1" width="1.5546875" customWidth="1"/>
    <col min="2" max="2" width="8" customWidth="1"/>
    <col min="3" max="3" width="30" customWidth="1"/>
    <col min="4" max="4" width="26" customWidth="1"/>
    <col min="5" max="6" width="52" customWidth="1"/>
  </cols>
  <sheetData>
    <row r="1" spans="2:6" ht="30" customHeight="1" x14ac:dyDescent="0.4">
      <c r="D1" s="10" t="s">
        <v>21</v>
      </c>
    </row>
    <row r="3" spans="2:6" ht="15" customHeight="1" x14ac:dyDescent="0.3">
      <c r="B3" s="33" t="s">
        <v>1</v>
      </c>
      <c r="C3" s="33"/>
      <c r="D3" s="32" t="str">
        <f>Cover!C4</f>
        <v>OrangeHRM - Time (Timesheets)</v>
      </c>
      <c r="E3" s="32"/>
      <c r="F3" s="32"/>
    </row>
    <row r="4" spans="2:6" ht="15" customHeight="1" x14ac:dyDescent="0.3">
      <c r="B4" s="33" t="s">
        <v>4</v>
      </c>
      <c r="C4" s="33"/>
      <c r="D4" s="32" t="str">
        <f>Cover!C5</f>
        <v>OHRM-TIME</v>
      </c>
      <c r="E4" s="32"/>
      <c r="F4" s="32"/>
    </row>
    <row r="5" spans="2:6" ht="94.5" customHeight="1" x14ac:dyDescent="0.3">
      <c r="B5" s="33" t="s">
        <v>22</v>
      </c>
      <c r="C5" s="33"/>
      <c r="D5" s="32" t="s">
        <v>23</v>
      </c>
      <c r="E5" s="32"/>
      <c r="F5" s="32"/>
    </row>
    <row r="8" spans="2:6" ht="25.5" customHeight="1" x14ac:dyDescent="0.3">
      <c r="B8" s="11" t="s">
        <v>24</v>
      </c>
      <c r="C8" s="11" t="s">
        <v>25</v>
      </c>
      <c r="D8" s="11" t="s">
        <v>26</v>
      </c>
      <c r="E8" s="11" t="s">
        <v>27</v>
      </c>
      <c r="F8" s="11" t="s">
        <v>28</v>
      </c>
    </row>
    <row r="9" spans="2:6" ht="108" customHeight="1" x14ac:dyDescent="0.3">
      <c r="B9" s="12">
        <v>1</v>
      </c>
      <c r="C9" s="13" t="s">
        <v>29</v>
      </c>
      <c r="D9" s="14" t="s">
        <v>30</v>
      </c>
      <c r="E9" s="13" t="s">
        <v>31</v>
      </c>
      <c r="F9" s="13" t="s">
        <v>32</v>
      </c>
    </row>
    <row r="10" spans="2:6" ht="69" customHeight="1" x14ac:dyDescent="0.3">
      <c r="B10" s="12">
        <v>2</v>
      </c>
      <c r="C10" s="13" t="s">
        <v>33</v>
      </c>
      <c r="D10" s="14" t="s">
        <v>34</v>
      </c>
      <c r="E10" s="13" t="s">
        <v>35</v>
      </c>
      <c r="F10" s="13" t="s">
        <v>36</v>
      </c>
    </row>
    <row r="11" spans="2:6" ht="94.5" customHeight="1" x14ac:dyDescent="0.3">
      <c r="B11" s="12">
        <v>3</v>
      </c>
      <c r="C11" s="13" t="s">
        <v>37</v>
      </c>
      <c r="D11" s="14" t="s">
        <v>38</v>
      </c>
      <c r="E11" s="13" t="s">
        <v>39</v>
      </c>
      <c r="F11" s="13" t="s">
        <v>40</v>
      </c>
    </row>
    <row r="13" spans="2:6" x14ac:dyDescent="0.3">
      <c r="C13" s="15" t="s">
        <v>41</v>
      </c>
    </row>
    <row r="14" spans="2:6" ht="30" customHeight="1" x14ac:dyDescent="0.3">
      <c r="C14" s="34" t="s">
        <v>42</v>
      </c>
      <c r="D14" s="34"/>
      <c r="E14" s="34"/>
      <c r="F14" s="34"/>
    </row>
    <row r="15" spans="2:6" ht="16.5" customHeight="1" x14ac:dyDescent="0.3">
      <c r="C15" s="34" t="s">
        <v>43</v>
      </c>
      <c r="D15" s="34"/>
      <c r="E15" s="34"/>
      <c r="F15" s="34"/>
    </row>
    <row r="16" spans="2:6" ht="30" customHeight="1" x14ac:dyDescent="0.3">
      <c r="C16" s="34" t="s">
        <v>44</v>
      </c>
      <c r="D16" s="34"/>
      <c r="E16" s="34"/>
      <c r="F16" s="34"/>
    </row>
    <row r="17" spans="3:6" ht="16.5" customHeight="1" x14ac:dyDescent="0.3">
      <c r="C17" s="34" t="s">
        <v>45</v>
      </c>
      <c r="D17" s="34"/>
      <c r="E17" s="34"/>
      <c r="F17" s="34"/>
    </row>
  </sheetData>
  <mergeCells count="10">
    <mergeCell ref="C14:F14"/>
    <mergeCell ref="C15:F15"/>
    <mergeCell ref="C16:F16"/>
    <mergeCell ref="C17:F17"/>
    <mergeCell ref="B3:C3"/>
    <mergeCell ref="D3:F3"/>
    <mergeCell ref="B4:C4"/>
    <mergeCell ref="D4:F4"/>
    <mergeCell ref="B5:C5"/>
    <mergeCell ref="D5:F5"/>
  </mergeCells>
  <hyperlinks>
    <hyperlink ref="D9" r:id="rId1" location="F07_TaoTimesheet!A1"/>
    <hyperlink ref="D10" r:id="rId2" location="F08_TraCuuTimesheet!A1"/>
    <hyperlink ref="D11" r:id="rId3" location="F09_GuiVaXuLy!A1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opLeftCell="C1" zoomScaleNormal="100" workbookViewId="0">
      <pane ySplit="1" topLeftCell="A17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34" customWidth="1"/>
    <col min="3" max="3" width="24" customWidth="1"/>
    <col min="4" max="4" width="72" customWidth="1"/>
    <col min="5" max="5" width="12" customWidth="1"/>
    <col min="6" max="6" width="42" customWidth="1"/>
    <col min="7" max="7" width="30" customWidth="1"/>
  </cols>
  <sheetData>
    <row r="1" spans="1:7" ht="27.75" customHeight="1" x14ac:dyDescent="0.3">
      <c r="A1" s="16" t="s">
        <v>46</v>
      </c>
      <c r="B1" s="16" t="s">
        <v>47</v>
      </c>
      <c r="C1" s="16" t="s">
        <v>48</v>
      </c>
      <c r="D1" s="16" t="s">
        <v>49</v>
      </c>
      <c r="E1" s="16" t="s">
        <v>50</v>
      </c>
      <c r="F1" s="16" t="s">
        <v>51</v>
      </c>
      <c r="G1" s="16" t="s">
        <v>52</v>
      </c>
    </row>
    <row r="2" spans="1:7" ht="30" customHeight="1" x14ac:dyDescent="0.3">
      <c r="A2" s="17" t="s">
        <v>29</v>
      </c>
      <c r="B2" s="18" t="s">
        <v>53</v>
      </c>
      <c r="C2" s="18" t="s">
        <v>54</v>
      </c>
      <c r="D2" s="18" t="s">
        <v>55</v>
      </c>
      <c r="E2" s="18" t="s">
        <v>56</v>
      </c>
      <c r="F2" s="18"/>
      <c r="G2" s="18" t="str">
        <f>F07_TaoTimesheet!A9</f>
        <v>TIME_CreateTimesheet_01</v>
      </c>
    </row>
    <row r="3" spans="1:7" ht="30" customHeight="1" x14ac:dyDescent="0.3">
      <c r="A3" s="18"/>
      <c r="B3" s="18"/>
      <c r="C3" s="18"/>
      <c r="D3" s="18" t="s">
        <v>57</v>
      </c>
      <c r="E3" s="18" t="s">
        <v>58</v>
      </c>
      <c r="F3" s="18" t="s">
        <v>59</v>
      </c>
      <c r="G3" s="18" t="str">
        <f>F07_TaoTimesheet!A10</f>
        <v>TIME_CreateTimesheet_02</v>
      </c>
    </row>
    <row r="4" spans="1:7" ht="30" customHeight="1" x14ac:dyDescent="0.3">
      <c r="A4" s="18"/>
      <c r="B4" s="18"/>
      <c r="C4" s="18"/>
      <c r="D4" s="18" t="s">
        <v>60</v>
      </c>
      <c r="E4" s="18" t="s">
        <v>58</v>
      </c>
      <c r="F4" s="18"/>
      <c r="G4" s="18" t="str">
        <f>F07_TaoTimesheet!A11</f>
        <v>TIME_CreateTimesheet_03</v>
      </c>
    </row>
    <row r="5" spans="1:7" ht="30" customHeight="1" x14ac:dyDescent="0.3">
      <c r="A5" s="18"/>
      <c r="B5" s="18" t="s">
        <v>61</v>
      </c>
      <c r="C5" s="18" t="s">
        <v>62</v>
      </c>
      <c r="D5" s="18" t="s">
        <v>63</v>
      </c>
      <c r="E5" s="18" t="s">
        <v>56</v>
      </c>
      <c r="F5" s="18"/>
      <c r="G5" s="18" t="str">
        <f>F07_TaoTimesheet!A12</f>
        <v>TIME_CreateTimesheet_04</v>
      </c>
    </row>
    <row r="6" spans="1:7" ht="16.5" customHeight="1" x14ac:dyDescent="0.3">
      <c r="A6" s="18"/>
      <c r="B6" s="18"/>
      <c r="C6" s="18"/>
      <c r="D6" s="18" t="s">
        <v>64</v>
      </c>
      <c r="E6" s="18" t="s">
        <v>56</v>
      </c>
      <c r="F6" s="18"/>
      <c r="G6" s="18" t="str">
        <f>F07_TaoTimesheet!A13</f>
        <v>TIME_CreateTimesheet_05</v>
      </c>
    </row>
    <row r="7" spans="1:7" ht="30" customHeight="1" x14ac:dyDescent="0.3">
      <c r="A7" s="18"/>
      <c r="B7" s="18"/>
      <c r="C7" s="18"/>
      <c r="D7" s="18" t="s">
        <v>65</v>
      </c>
      <c r="E7" s="18" t="s">
        <v>56</v>
      </c>
      <c r="F7" s="18" t="s">
        <v>59</v>
      </c>
      <c r="G7" s="18" t="str">
        <f>F07_TaoTimesheet!A14</f>
        <v>TIME_CreateTimesheet_06</v>
      </c>
    </row>
    <row r="8" spans="1:7" ht="16.5" customHeight="1" x14ac:dyDescent="0.3">
      <c r="A8" s="18"/>
      <c r="B8" s="18"/>
      <c r="C8" s="18"/>
      <c r="D8" s="18" t="s">
        <v>66</v>
      </c>
      <c r="E8" s="18" t="s">
        <v>56</v>
      </c>
      <c r="F8" s="18"/>
      <c r="G8" s="18" t="str">
        <f>F07_TaoTimesheet!A15</f>
        <v>TIME_CreateTimesheet_07</v>
      </c>
    </row>
    <row r="9" spans="1:7" ht="16.5" customHeight="1" x14ac:dyDescent="0.3">
      <c r="A9" s="18"/>
      <c r="B9" s="18"/>
      <c r="C9" s="18"/>
      <c r="D9" s="18" t="s">
        <v>67</v>
      </c>
      <c r="E9" s="18" t="s">
        <v>56</v>
      </c>
      <c r="F9" s="18"/>
      <c r="G9" s="18" t="str">
        <f>F07_TaoTimesheet!A16</f>
        <v>TIME_CreateTimesheet_08</v>
      </c>
    </row>
    <row r="10" spans="1:7" ht="16.5" customHeight="1" x14ac:dyDescent="0.3">
      <c r="A10" s="18"/>
      <c r="B10" s="18"/>
      <c r="C10" s="18"/>
      <c r="D10" s="18" t="s">
        <v>68</v>
      </c>
      <c r="E10" s="18" t="s">
        <v>56</v>
      </c>
      <c r="F10" s="18"/>
      <c r="G10" s="18" t="str">
        <f>F07_TaoTimesheet!A17</f>
        <v>TIME_CreateTimesheet_09</v>
      </c>
    </row>
    <row r="11" spans="1:7" ht="16.5" customHeight="1" x14ac:dyDescent="0.3">
      <c r="A11" s="18"/>
      <c r="B11" s="18"/>
      <c r="C11" s="18"/>
      <c r="D11" s="18" t="s">
        <v>69</v>
      </c>
      <c r="E11" s="18" t="s">
        <v>56</v>
      </c>
      <c r="F11" s="18"/>
      <c r="G11" s="18" t="str">
        <f>F07_TaoTimesheet!A18</f>
        <v>TIME_CreateTimesheet_10</v>
      </c>
    </row>
    <row r="12" spans="1:7" ht="16.5" customHeight="1" x14ac:dyDescent="0.3">
      <c r="A12" s="18"/>
      <c r="B12" s="18"/>
      <c r="C12" s="18"/>
      <c r="D12" s="18" t="s">
        <v>70</v>
      </c>
      <c r="E12" s="18" t="s">
        <v>56</v>
      </c>
      <c r="F12" s="18"/>
      <c r="G12" s="18" t="str">
        <f>F07_TaoTimesheet!A19</f>
        <v>TIME_CreateTimesheet_11</v>
      </c>
    </row>
    <row r="13" spans="1:7" ht="16.5" customHeight="1" x14ac:dyDescent="0.3">
      <c r="A13" s="18"/>
      <c r="B13" s="18"/>
      <c r="C13" s="18"/>
      <c r="D13" s="18" t="s">
        <v>71</v>
      </c>
      <c r="E13" s="18" t="s">
        <v>56</v>
      </c>
      <c r="F13" s="18"/>
      <c r="G13" s="18" t="str">
        <f>F07_TaoTimesheet!A20</f>
        <v>TIME_CreateTimesheet_12</v>
      </c>
    </row>
    <row r="14" spans="1:7" ht="16.5" customHeight="1" x14ac:dyDescent="0.3">
      <c r="A14" s="18"/>
      <c r="B14" s="18"/>
      <c r="C14" s="18"/>
      <c r="D14" s="18" t="s">
        <v>72</v>
      </c>
      <c r="E14" s="18" t="s">
        <v>56</v>
      </c>
      <c r="F14" s="18"/>
      <c r="G14" s="18" t="str">
        <f>F07_TaoTimesheet!A21</f>
        <v>TIME_CreateTimesheet_13</v>
      </c>
    </row>
    <row r="15" spans="1:7" ht="16.5" customHeight="1" x14ac:dyDescent="0.3">
      <c r="A15" s="18"/>
      <c r="B15" s="18"/>
      <c r="C15" s="18"/>
      <c r="D15" s="18" t="s">
        <v>73</v>
      </c>
      <c r="E15" s="18" t="s">
        <v>56</v>
      </c>
      <c r="F15" s="18"/>
      <c r="G15" s="18" t="str">
        <f>F07_TaoTimesheet!A22</f>
        <v>TIME_CreateTimesheet_14</v>
      </c>
    </row>
    <row r="16" spans="1:7" ht="30" customHeight="1" x14ac:dyDescent="0.3">
      <c r="A16" s="18"/>
      <c r="B16" s="18"/>
      <c r="C16" s="18"/>
      <c r="D16" s="18" t="s">
        <v>74</v>
      </c>
      <c r="E16" s="18" t="s">
        <v>56</v>
      </c>
      <c r="F16" s="18" t="s">
        <v>59</v>
      </c>
      <c r="G16" s="18" t="str">
        <f>F07_TaoTimesheet!A23</f>
        <v>TIME_CreateTimesheet_15</v>
      </c>
    </row>
    <row r="17" spans="1:7" ht="30" customHeight="1" x14ac:dyDescent="0.3">
      <c r="A17" s="18"/>
      <c r="B17" s="18"/>
      <c r="C17" s="18" t="s">
        <v>75</v>
      </c>
      <c r="D17" s="18" t="s">
        <v>76</v>
      </c>
      <c r="E17" s="18" t="s">
        <v>77</v>
      </c>
      <c r="F17" s="18" t="s">
        <v>59</v>
      </c>
      <c r="G17" s="18" t="str">
        <f>F07_TaoTimesheet!A24</f>
        <v>TIME_CreateTimesheet_16</v>
      </c>
    </row>
    <row r="18" spans="1:7" ht="16.5" customHeight="1" x14ac:dyDescent="0.3">
      <c r="A18" s="18"/>
      <c r="B18" s="18"/>
      <c r="C18" s="18"/>
      <c r="D18" s="18" t="s">
        <v>78</v>
      </c>
      <c r="E18" s="18" t="s">
        <v>77</v>
      </c>
      <c r="F18" s="18"/>
      <c r="G18" s="18" t="str">
        <f>F07_TaoTimesheet!A25</f>
        <v>TIME_CreateTimesheet_17</v>
      </c>
    </row>
    <row r="19" spans="1:7" ht="16.5" customHeight="1" x14ac:dyDescent="0.3">
      <c r="A19" s="18"/>
      <c r="B19" s="18"/>
      <c r="C19" s="18"/>
      <c r="D19" s="18" t="s">
        <v>79</v>
      </c>
      <c r="E19" s="18" t="s">
        <v>77</v>
      </c>
      <c r="F19" s="18"/>
      <c r="G19" s="18" t="str">
        <f>F07_TaoTimesheet!A26</f>
        <v>TIME_CreateTimesheet_18</v>
      </c>
    </row>
    <row r="20" spans="1:7" ht="30" customHeight="1" x14ac:dyDescent="0.3">
      <c r="A20" s="18"/>
      <c r="B20" s="18"/>
      <c r="C20" s="18"/>
      <c r="D20" s="18" t="s">
        <v>80</v>
      </c>
      <c r="E20" s="18" t="s">
        <v>77</v>
      </c>
      <c r="F20" s="18" t="s">
        <v>59</v>
      </c>
      <c r="G20" s="18" t="str">
        <f>F07_TaoTimesheet!A27</f>
        <v>TIME_CreateTimesheet_19</v>
      </c>
    </row>
    <row r="21" spans="1:7" ht="16.5" customHeight="1" x14ac:dyDescent="0.3">
      <c r="A21" s="18"/>
      <c r="B21" s="18"/>
      <c r="C21" s="18"/>
      <c r="D21" s="18" t="s">
        <v>81</v>
      </c>
      <c r="E21" s="18" t="s">
        <v>77</v>
      </c>
      <c r="F21" s="18"/>
      <c r="G21" s="18" t="str">
        <f>F07_TaoTimesheet!A28</f>
        <v>TIME_CreateTimesheet_20</v>
      </c>
    </row>
    <row r="22" spans="1:7" ht="16.5" customHeight="1" x14ac:dyDescent="0.3">
      <c r="A22" s="18"/>
      <c r="B22" s="18"/>
      <c r="C22" s="18"/>
      <c r="D22" s="18" t="s">
        <v>82</v>
      </c>
      <c r="E22" s="18" t="s">
        <v>77</v>
      </c>
      <c r="F22" s="18"/>
      <c r="G22" s="18" t="str">
        <f>F07_TaoTimesheet!A29</f>
        <v>TIME_CreateTimesheet_21</v>
      </c>
    </row>
    <row r="23" spans="1:7" ht="16.5" customHeight="1" x14ac:dyDescent="0.3">
      <c r="A23" s="18"/>
      <c r="B23" s="18"/>
      <c r="C23" s="18"/>
      <c r="D23" s="18" t="s">
        <v>83</v>
      </c>
      <c r="E23" s="18" t="s">
        <v>77</v>
      </c>
      <c r="F23" s="18"/>
      <c r="G23" s="18" t="str">
        <f>F07_TaoTimesheet!A30</f>
        <v>TIME_CreateTimesheet_22</v>
      </c>
    </row>
    <row r="24" spans="1:7" ht="30" customHeight="1" x14ac:dyDescent="0.3">
      <c r="A24" s="18"/>
      <c r="B24" s="18"/>
      <c r="C24" s="18"/>
      <c r="D24" s="18" t="s">
        <v>84</v>
      </c>
      <c r="E24" s="18" t="s">
        <v>77</v>
      </c>
      <c r="F24" s="18" t="s">
        <v>59</v>
      </c>
      <c r="G24" s="18" t="str">
        <f>F07_TaoTimesheet!A31</f>
        <v>TIME_CreateTimesheet_23</v>
      </c>
    </row>
    <row r="25" spans="1:7" ht="42.75" customHeight="1" x14ac:dyDescent="0.3">
      <c r="A25" s="18"/>
      <c r="B25" s="18"/>
      <c r="C25" s="18"/>
      <c r="D25" s="18" t="s">
        <v>85</v>
      </c>
      <c r="E25" s="18" t="s">
        <v>77</v>
      </c>
      <c r="F25" s="18" t="s">
        <v>86</v>
      </c>
      <c r="G25" s="18" t="str">
        <f>F07_TaoTimesheet!A32</f>
        <v>TIME_CreateTimesheet_24</v>
      </c>
    </row>
    <row r="26" spans="1:7" ht="30" customHeight="1" x14ac:dyDescent="0.3">
      <c r="A26" s="18"/>
      <c r="B26" s="18"/>
      <c r="C26" s="18"/>
      <c r="D26" s="18" t="s">
        <v>87</v>
      </c>
      <c r="E26" s="18" t="s">
        <v>77</v>
      </c>
      <c r="F26" s="18" t="s">
        <v>59</v>
      </c>
      <c r="G26" s="18" t="str">
        <f>F07_TaoTimesheet!A33</f>
        <v>TIME_CreateTimesheet_25</v>
      </c>
    </row>
    <row r="27" spans="1:7" ht="30" customHeight="1" x14ac:dyDescent="0.3">
      <c r="A27" s="18"/>
      <c r="B27" s="18"/>
      <c r="C27" s="18"/>
      <c r="D27" s="18" t="s">
        <v>88</v>
      </c>
      <c r="E27" s="18" t="s">
        <v>77</v>
      </c>
      <c r="F27" s="18" t="s">
        <v>59</v>
      </c>
      <c r="G27" s="18" t="str">
        <f>F07_TaoTimesheet!A34</f>
        <v>TIME_CreateTimesheet_26</v>
      </c>
    </row>
    <row r="28" spans="1:7" ht="16.5" customHeight="1" x14ac:dyDescent="0.3">
      <c r="A28" s="18"/>
      <c r="B28" s="18"/>
      <c r="C28" s="18" t="s">
        <v>89</v>
      </c>
      <c r="D28" s="18" t="s">
        <v>90</v>
      </c>
      <c r="E28" s="18" t="s">
        <v>91</v>
      </c>
      <c r="F28" s="18"/>
      <c r="G28" s="18" t="str">
        <f>F07_TaoTimesheet!A35</f>
        <v>TIME_CreateTimesheet_27</v>
      </c>
    </row>
    <row r="29" spans="1:7" ht="16.5" customHeight="1" x14ac:dyDescent="0.3">
      <c r="A29" s="18"/>
      <c r="B29" s="18"/>
      <c r="C29" s="18"/>
      <c r="D29" s="18" t="s">
        <v>92</v>
      </c>
      <c r="E29" s="18" t="s">
        <v>91</v>
      </c>
      <c r="F29" s="18"/>
      <c r="G29" s="18" t="str">
        <f>F07_TaoTimesheet!A36</f>
        <v>TIME_CreateTimesheet_28</v>
      </c>
    </row>
    <row r="30" spans="1:7" ht="16.5" customHeight="1" x14ac:dyDescent="0.3">
      <c r="A30" s="18"/>
      <c r="B30" s="18"/>
      <c r="C30" s="18"/>
      <c r="D30" s="18" t="s">
        <v>93</v>
      </c>
      <c r="E30" s="18" t="s">
        <v>91</v>
      </c>
      <c r="F30" s="18"/>
      <c r="G30" s="18" t="str">
        <f>F07_TaoTimesheet!A37</f>
        <v>TIME_CreateTimesheet_29</v>
      </c>
    </row>
    <row r="31" spans="1:7" ht="16.5" customHeight="1" x14ac:dyDescent="0.3">
      <c r="A31" s="18"/>
      <c r="B31" s="18"/>
      <c r="C31" s="18"/>
      <c r="D31" s="18" t="s">
        <v>94</v>
      </c>
      <c r="E31" s="18" t="s">
        <v>91</v>
      </c>
      <c r="F31" s="18"/>
      <c r="G31" s="18" t="str">
        <f>F07_TaoTimesheet!A38</f>
        <v>TIME_CreateTimesheet_30</v>
      </c>
    </row>
    <row r="32" spans="1:7" ht="16.5" customHeight="1" x14ac:dyDescent="0.3">
      <c r="A32" s="18"/>
      <c r="B32" s="18"/>
      <c r="C32" s="18"/>
      <c r="D32" s="18" t="s">
        <v>95</v>
      </c>
      <c r="E32" s="18" t="s">
        <v>91</v>
      </c>
      <c r="F32" s="18"/>
      <c r="G32" s="18" t="str">
        <f>F07_TaoTimesheet!A39</f>
        <v>TIME_CreateTimesheet_31</v>
      </c>
    </row>
    <row r="33" spans="1:7" ht="16.5" customHeight="1" x14ac:dyDescent="0.3">
      <c r="A33" s="18"/>
      <c r="B33" s="18"/>
      <c r="C33" s="18"/>
      <c r="D33" s="18" t="s">
        <v>96</v>
      </c>
      <c r="E33" s="18" t="s">
        <v>91</v>
      </c>
      <c r="F33" s="18"/>
      <c r="G33" s="18" t="str">
        <f>F07_TaoTimesheet!A40</f>
        <v>TIME_CreateTimesheet_32</v>
      </c>
    </row>
    <row r="34" spans="1:7" ht="16.5" customHeight="1" x14ac:dyDescent="0.3">
      <c r="A34" s="18"/>
      <c r="B34" s="18"/>
      <c r="C34" s="18"/>
      <c r="D34" s="18" t="s">
        <v>97</v>
      </c>
      <c r="E34" s="18" t="s">
        <v>91</v>
      </c>
      <c r="F34" s="18"/>
      <c r="G34" s="18" t="str">
        <f>F07_TaoTimesheet!A41</f>
        <v>TIME_CreateTimesheet_33</v>
      </c>
    </row>
    <row r="35" spans="1:7" ht="30" customHeight="1" x14ac:dyDescent="0.3">
      <c r="A35" s="18"/>
      <c r="B35" s="18"/>
      <c r="C35" s="18"/>
      <c r="D35" s="18" t="s">
        <v>98</v>
      </c>
      <c r="E35" s="18" t="s">
        <v>91</v>
      </c>
      <c r="F35" s="18" t="s">
        <v>59</v>
      </c>
      <c r="G35" s="18" t="str">
        <f>F07_TaoTimesheet!A42</f>
        <v>TIME_CreateTimesheet_34</v>
      </c>
    </row>
    <row r="36" spans="1:7" ht="30" customHeight="1" x14ac:dyDescent="0.3">
      <c r="A36" s="18"/>
      <c r="B36" s="18"/>
      <c r="C36" s="18"/>
      <c r="D36" s="18" t="s">
        <v>99</v>
      </c>
      <c r="E36" s="18" t="s">
        <v>91</v>
      </c>
      <c r="F36" s="18" t="s">
        <v>59</v>
      </c>
      <c r="G36" s="18" t="str">
        <f>F07_TaoTimesheet!A43</f>
        <v>TIME_CreateTimesheet_35</v>
      </c>
    </row>
    <row r="37" spans="1:7" ht="30" customHeight="1" x14ac:dyDescent="0.3">
      <c r="A37" s="18"/>
      <c r="B37" s="18" t="s">
        <v>100</v>
      </c>
      <c r="C37" s="18" t="s">
        <v>101</v>
      </c>
      <c r="D37" s="18" t="s">
        <v>102</v>
      </c>
      <c r="E37" s="18" t="s">
        <v>56</v>
      </c>
      <c r="F37" s="18"/>
      <c r="G37" s="18" t="str">
        <f>F07_TaoTimesheet!A44</f>
        <v>TIME_CreateTimesheet_36</v>
      </c>
    </row>
    <row r="38" spans="1:7" ht="30" customHeight="1" x14ac:dyDescent="0.3">
      <c r="A38" s="18"/>
      <c r="B38" s="18"/>
      <c r="C38" s="18"/>
      <c r="D38" s="18" t="s">
        <v>103</v>
      </c>
      <c r="E38" s="18" t="s">
        <v>56</v>
      </c>
      <c r="F38" s="18"/>
      <c r="G38" s="18" t="str">
        <f>F07_TaoTimesheet!A45</f>
        <v>TIME_CreateTimesheet_37</v>
      </c>
    </row>
    <row r="39" spans="1:7" ht="30" customHeight="1" x14ac:dyDescent="0.3">
      <c r="A39" s="18"/>
      <c r="B39" s="18"/>
      <c r="C39" s="18"/>
      <c r="D39" s="18" t="s">
        <v>104</v>
      </c>
      <c r="E39" s="18" t="s">
        <v>91</v>
      </c>
      <c r="F39" s="18"/>
      <c r="G39" s="18" t="str">
        <f>F07_TaoTimesheet!A46</f>
        <v>TIME_CreateTimesheet_38</v>
      </c>
    </row>
    <row r="40" spans="1:7" ht="30" customHeight="1" x14ac:dyDescent="0.3">
      <c r="A40" s="18"/>
      <c r="B40" s="18"/>
      <c r="C40" s="18"/>
      <c r="D40" s="18" t="s">
        <v>105</v>
      </c>
      <c r="E40" s="18" t="s">
        <v>106</v>
      </c>
      <c r="F40" s="18"/>
      <c r="G40" s="18" t="str">
        <f>F07_TaoTimesheet!A47</f>
        <v>TIME_CreateTimesheet_39</v>
      </c>
    </row>
    <row r="41" spans="1:7" ht="30" customHeight="1" x14ac:dyDescent="0.3">
      <c r="A41" s="18"/>
      <c r="B41" s="18"/>
      <c r="C41" s="18"/>
      <c r="D41" s="18" t="s">
        <v>107</v>
      </c>
      <c r="E41" s="18" t="s">
        <v>106</v>
      </c>
      <c r="F41" s="18"/>
      <c r="G41" s="18" t="str">
        <f>F07_TaoTimesheet!A48</f>
        <v>TIME_CreateTimesheet_40</v>
      </c>
    </row>
    <row r="42" spans="1:7" ht="30" customHeight="1" x14ac:dyDescent="0.3">
      <c r="A42" s="18"/>
      <c r="B42" s="18"/>
      <c r="C42" s="18"/>
      <c r="D42" s="18" t="s">
        <v>108</v>
      </c>
      <c r="E42" s="18" t="s">
        <v>91</v>
      </c>
      <c r="F42" s="18"/>
      <c r="G42" s="18" t="str">
        <f>F07_TaoTimesheet!A49</f>
        <v>TIME_CreateTimesheet_41</v>
      </c>
    </row>
    <row r="43" spans="1:7" ht="30" customHeight="1" x14ac:dyDescent="0.3">
      <c r="A43" s="18"/>
      <c r="B43" s="18"/>
      <c r="C43" s="18"/>
      <c r="D43" s="18" t="s">
        <v>109</v>
      </c>
      <c r="E43" s="18" t="s">
        <v>106</v>
      </c>
      <c r="F43" s="18"/>
      <c r="G43" s="18" t="str">
        <f>F07_TaoTimesheet!A50</f>
        <v>TIME_CreateTimesheet_42</v>
      </c>
    </row>
    <row r="44" spans="1:7" ht="30" customHeight="1" x14ac:dyDescent="0.3">
      <c r="A44" s="17" t="s">
        <v>33</v>
      </c>
      <c r="B44" s="18" t="s">
        <v>110</v>
      </c>
      <c r="C44" s="18" t="s">
        <v>54</v>
      </c>
      <c r="D44" s="18" t="s">
        <v>111</v>
      </c>
      <c r="E44" s="18" t="s">
        <v>56</v>
      </c>
      <c r="F44" s="18"/>
      <c r="G44" s="18" t="str">
        <f>F08_TraCuuTimesheet!A9</f>
        <v>TIME_SearchTimesheet_01</v>
      </c>
    </row>
    <row r="45" spans="1:7" ht="30" customHeight="1" x14ac:dyDescent="0.3">
      <c r="A45" s="18"/>
      <c r="B45" s="18"/>
      <c r="C45" s="18"/>
      <c r="D45" s="18" t="s">
        <v>112</v>
      </c>
      <c r="E45" s="18" t="s">
        <v>58</v>
      </c>
      <c r="F45" s="18" t="s">
        <v>59</v>
      </c>
      <c r="G45" s="18" t="str">
        <f>F08_TraCuuTimesheet!A10</f>
        <v>TIME_SearchTimesheet_02</v>
      </c>
    </row>
    <row r="46" spans="1:7" ht="16.5" customHeight="1" x14ac:dyDescent="0.3">
      <c r="A46" s="18"/>
      <c r="B46" s="18"/>
      <c r="C46" s="18"/>
      <c r="D46" s="18" t="s">
        <v>113</v>
      </c>
      <c r="E46" s="18" t="s">
        <v>56</v>
      </c>
      <c r="F46" s="18"/>
      <c r="G46" s="18" t="str">
        <f>F08_TraCuuTimesheet!A11</f>
        <v>TIME_SearchTimesheet_03</v>
      </c>
    </row>
    <row r="47" spans="1:7" ht="30" customHeight="1" x14ac:dyDescent="0.3">
      <c r="A47" s="18"/>
      <c r="B47" s="18"/>
      <c r="C47" s="18"/>
      <c r="D47" s="18" t="s">
        <v>114</v>
      </c>
      <c r="E47" s="18" t="s">
        <v>58</v>
      </c>
      <c r="F47" s="18" t="s">
        <v>59</v>
      </c>
      <c r="G47" s="18" t="str">
        <f>F08_TraCuuTimesheet!A12</f>
        <v>TIME_SearchTimesheet_04</v>
      </c>
    </row>
    <row r="48" spans="1:7" ht="16.5" customHeight="1" x14ac:dyDescent="0.3">
      <c r="A48" s="18"/>
      <c r="B48" s="18"/>
      <c r="C48" s="18"/>
      <c r="D48" s="18" t="s">
        <v>115</v>
      </c>
      <c r="E48" s="18" t="s">
        <v>56</v>
      </c>
      <c r="F48" s="18"/>
      <c r="G48" s="18" t="str">
        <f>F08_TraCuuTimesheet!A13</f>
        <v>TIME_SearchTimesheet_05</v>
      </c>
    </row>
    <row r="49" spans="1:7" ht="16.5" customHeight="1" x14ac:dyDescent="0.3">
      <c r="A49" s="18"/>
      <c r="B49" s="18" t="s">
        <v>116</v>
      </c>
      <c r="C49" s="18" t="s">
        <v>62</v>
      </c>
      <c r="D49" s="18" t="s">
        <v>117</v>
      </c>
      <c r="E49" s="18" t="s">
        <v>56</v>
      </c>
      <c r="F49" s="18"/>
      <c r="G49" s="18" t="str">
        <f>F08_TraCuuTimesheet!A14</f>
        <v>TIME_SearchTimesheet_06</v>
      </c>
    </row>
    <row r="50" spans="1:7" ht="16.5" customHeight="1" x14ac:dyDescent="0.3">
      <c r="A50" s="18"/>
      <c r="B50" s="18"/>
      <c r="C50" s="18"/>
      <c r="D50" s="18" t="s">
        <v>118</v>
      </c>
      <c r="E50" s="18" t="s">
        <v>56</v>
      </c>
      <c r="F50" s="18"/>
      <c r="G50" s="18" t="str">
        <f>F08_TraCuuTimesheet!A15</f>
        <v>TIME_SearchTimesheet_07</v>
      </c>
    </row>
    <row r="51" spans="1:7" ht="16.5" customHeight="1" x14ac:dyDescent="0.3">
      <c r="A51" s="18"/>
      <c r="B51" s="18"/>
      <c r="C51" s="18"/>
      <c r="D51" s="18" t="s">
        <v>119</v>
      </c>
      <c r="E51" s="18" t="s">
        <v>56</v>
      </c>
      <c r="F51" s="18"/>
      <c r="G51" s="18" t="str">
        <f>F08_TraCuuTimesheet!A16</f>
        <v>TIME_SearchTimesheet_08</v>
      </c>
    </row>
    <row r="52" spans="1:7" ht="30" customHeight="1" x14ac:dyDescent="0.3">
      <c r="A52" s="18"/>
      <c r="B52" s="18"/>
      <c r="C52" s="18"/>
      <c r="D52" s="18" t="s">
        <v>120</v>
      </c>
      <c r="E52" s="18" t="s">
        <v>56</v>
      </c>
      <c r="F52" s="18" t="s">
        <v>59</v>
      </c>
      <c r="G52" s="18" t="str">
        <f>F08_TraCuuTimesheet!A17</f>
        <v>TIME_SearchTimesheet_09</v>
      </c>
    </row>
    <row r="53" spans="1:7" ht="16.5" customHeight="1" x14ac:dyDescent="0.3">
      <c r="A53" s="18"/>
      <c r="B53" s="18"/>
      <c r="C53" s="18"/>
      <c r="D53" s="18" t="s">
        <v>121</v>
      </c>
      <c r="E53" s="18" t="s">
        <v>56</v>
      </c>
      <c r="F53" s="18"/>
      <c r="G53" s="18" t="str">
        <f>F08_TraCuuTimesheet!A18</f>
        <v>TIME_SearchTimesheet_10</v>
      </c>
    </row>
    <row r="54" spans="1:7" ht="16.5" customHeight="1" x14ac:dyDescent="0.3">
      <c r="A54" s="18"/>
      <c r="B54" s="18"/>
      <c r="C54" s="18"/>
      <c r="D54" s="18" t="s">
        <v>122</v>
      </c>
      <c r="E54" s="18" t="s">
        <v>56</v>
      </c>
      <c r="F54" s="18"/>
      <c r="G54" s="18" t="str">
        <f>F08_TraCuuTimesheet!A19</f>
        <v>TIME_SearchTimesheet_11</v>
      </c>
    </row>
    <row r="55" spans="1:7" ht="16.5" customHeight="1" x14ac:dyDescent="0.3">
      <c r="A55" s="18"/>
      <c r="B55" s="18"/>
      <c r="C55" s="18"/>
      <c r="D55" s="18" t="s">
        <v>123</v>
      </c>
      <c r="E55" s="18" t="s">
        <v>56</v>
      </c>
      <c r="F55" s="18"/>
      <c r="G55" s="18" t="str">
        <f>F08_TraCuuTimesheet!A20</f>
        <v>TIME_SearchTimesheet_12</v>
      </c>
    </row>
    <row r="56" spans="1:7" ht="16.5" customHeight="1" x14ac:dyDescent="0.3">
      <c r="A56" s="18"/>
      <c r="B56" s="18"/>
      <c r="C56" s="18"/>
      <c r="D56" s="18" t="s">
        <v>124</v>
      </c>
      <c r="E56" s="18" t="s">
        <v>56</v>
      </c>
      <c r="F56" s="18"/>
      <c r="G56" s="18" t="str">
        <f>F08_TraCuuTimesheet!A21</f>
        <v>TIME_SearchTimesheet_13</v>
      </c>
    </row>
    <row r="57" spans="1:7" ht="16.5" customHeight="1" x14ac:dyDescent="0.3">
      <c r="A57" s="18"/>
      <c r="B57" s="18"/>
      <c r="C57" s="18" t="s">
        <v>125</v>
      </c>
      <c r="D57" s="18" t="s">
        <v>126</v>
      </c>
      <c r="E57" s="18" t="s">
        <v>56</v>
      </c>
      <c r="F57" s="18"/>
      <c r="G57" s="18" t="str">
        <f>F08_TraCuuTimesheet!A22</f>
        <v>TIME_SearchTimesheet_14</v>
      </c>
    </row>
    <row r="58" spans="1:7" ht="30" customHeight="1" x14ac:dyDescent="0.3">
      <c r="A58" s="18"/>
      <c r="B58" s="18"/>
      <c r="C58" s="18"/>
      <c r="D58" s="18" t="s">
        <v>127</v>
      </c>
      <c r="E58" s="18" t="s">
        <v>56</v>
      </c>
      <c r="F58" s="18" t="s">
        <v>59</v>
      </c>
      <c r="G58" s="18" t="str">
        <f>F08_TraCuuTimesheet!A23</f>
        <v>TIME_SearchTimesheet_15</v>
      </c>
    </row>
    <row r="59" spans="1:7" ht="16.5" customHeight="1" x14ac:dyDescent="0.3">
      <c r="A59" s="18"/>
      <c r="B59" s="18"/>
      <c r="C59" s="18"/>
      <c r="D59" s="18" t="s">
        <v>128</v>
      </c>
      <c r="E59" s="18" t="s">
        <v>77</v>
      </c>
      <c r="F59" s="18"/>
      <c r="G59" s="18" t="str">
        <f>F08_TraCuuTimesheet!A24</f>
        <v>TIME_SearchTimesheet_16</v>
      </c>
    </row>
    <row r="60" spans="1:7" ht="30" customHeight="1" x14ac:dyDescent="0.3">
      <c r="A60" s="18"/>
      <c r="B60" s="18"/>
      <c r="C60" s="18"/>
      <c r="D60" s="18" t="s">
        <v>129</v>
      </c>
      <c r="E60" s="18" t="s">
        <v>77</v>
      </c>
      <c r="F60" s="18" t="s">
        <v>59</v>
      </c>
      <c r="G60" s="18" t="str">
        <f>F08_TraCuuTimesheet!A25</f>
        <v>TIME_SearchTimesheet_17</v>
      </c>
    </row>
    <row r="61" spans="1:7" ht="16.5" customHeight="1" x14ac:dyDescent="0.3">
      <c r="A61" s="18"/>
      <c r="B61" s="18"/>
      <c r="C61" s="18"/>
      <c r="D61" s="18" t="s">
        <v>130</v>
      </c>
      <c r="E61" s="18" t="s">
        <v>77</v>
      </c>
      <c r="F61" s="18"/>
      <c r="G61" s="18" t="str">
        <f>F08_TraCuuTimesheet!A26</f>
        <v>TIME_SearchTimesheet_18</v>
      </c>
    </row>
    <row r="62" spans="1:7" ht="30" customHeight="1" x14ac:dyDescent="0.3">
      <c r="A62" s="18"/>
      <c r="B62" s="18"/>
      <c r="C62" s="18"/>
      <c r="D62" s="18" t="s">
        <v>131</v>
      </c>
      <c r="E62" s="18" t="s">
        <v>77</v>
      </c>
      <c r="F62" s="18" t="s">
        <v>59</v>
      </c>
      <c r="G62" s="18" t="str">
        <f>F08_TraCuuTimesheet!A27</f>
        <v>TIME_SearchTimesheet_19</v>
      </c>
    </row>
    <row r="63" spans="1:7" ht="16.5" customHeight="1" x14ac:dyDescent="0.3">
      <c r="A63" s="18"/>
      <c r="B63" s="18"/>
      <c r="C63" s="18" t="s">
        <v>89</v>
      </c>
      <c r="D63" s="18" t="s">
        <v>132</v>
      </c>
      <c r="E63" s="18" t="s">
        <v>91</v>
      </c>
      <c r="F63" s="18"/>
      <c r="G63" s="18" t="str">
        <f>F08_TraCuuTimesheet!A28</f>
        <v>TIME_SearchTimesheet_20</v>
      </c>
    </row>
    <row r="64" spans="1:7" ht="16.5" customHeight="1" x14ac:dyDescent="0.3">
      <c r="A64" s="18"/>
      <c r="B64" s="18"/>
      <c r="C64" s="18"/>
      <c r="D64" s="18" t="s">
        <v>133</v>
      </c>
      <c r="E64" s="18" t="s">
        <v>91</v>
      </c>
      <c r="F64" s="18"/>
      <c r="G64" s="18" t="str">
        <f>F08_TraCuuTimesheet!A29</f>
        <v>TIME_SearchTimesheet_21</v>
      </c>
    </row>
    <row r="65" spans="1:7" ht="16.5" customHeight="1" x14ac:dyDescent="0.3">
      <c r="A65" s="18"/>
      <c r="B65" s="18"/>
      <c r="C65" s="18"/>
      <c r="D65" s="18" t="s">
        <v>134</v>
      </c>
      <c r="E65" s="18" t="s">
        <v>91</v>
      </c>
      <c r="F65" s="18"/>
      <c r="G65" s="18" t="str">
        <f>F08_TraCuuTimesheet!A30</f>
        <v>TIME_SearchTimesheet_22</v>
      </c>
    </row>
    <row r="66" spans="1:7" ht="16.5" customHeight="1" x14ac:dyDescent="0.3">
      <c r="A66" s="18"/>
      <c r="B66" s="18"/>
      <c r="C66" s="18"/>
      <c r="D66" s="18" t="s">
        <v>135</v>
      </c>
      <c r="E66" s="18" t="s">
        <v>91</v>
      </c>
      <c r="F66" s="18"/>
      <c r="G66" s="18" t="str">
        <f>F08_TraCuuTimesheet!A31</f>
        <v>TIME_SearchTimesheet_23</v>
      </c>
    </row>
    <row r="67" spans="1:7" ht="30" customHeight="1" x14ac:dyDescent="0.3">
      <c r="A67" s="18"/>
      <c r="B67" s="18"/>
      <c r="C67" s="18"/>
      <c r="D67" s="18" t="s">
        <v>136</v>
      </c>
      <c r="E67" s="18" t="s">
        <v>91</v>
      </c>
      <c r="F67" s="18" t="s">
        <v>59</v>
      </c>
      <c r="G67" s="18" t="str">
        <f>F08_TraCuuTimesheet!A32</f>
        <v>TIME_SearchTimesheet_24</v>
      </c>
    </row>
    <row r="68" spans="1:7" ht="16.5" customHeight="1" x14ac:dyDescent="0.3">
      <c r="A68" s="18"/>
      <c r="B68" s="18" t="s">
        <v>137</v>
      </c>
      <c r="C68" s="18" t="s">
        <v>106</v>
      </c>
      <c r="D68" s="18" t="s">
        <v>138</v>
      </c>
      <c r="E68" s="18" t="s">
        <v>106</v>
      </c>
      <c r="F68" s="18"/>
      <c r="G68" s="18" t="str">
        <f>F08_TraCuuTimesheet!A33</f>
        <v>TIME_SearchTimesheet_25</v>
      </c>
    </row>
    <row r="69" spans="1:7" ht="16.5" customHeight="1" x14ac:dyDescent="0.3">
      <c r="A69" s="18"/>
      <c r="B69" s="18"/>
      <c r="C69" s="18"/>
      <c r="D69" s="18" t="s">
        <v>139</v>
      </c>
      <c r="E69" s="18" t="s">
        <v>106</v>
      </c>
      <c r="F69" s="18"/>
      <c r="G69" s="18" t="str">
        <f>F08_TraCuuTimesheet!A34</f>
        <v>TIME_SearchTimesheet_26</v>
      </c>
    </row>
    <row r="70" spans="1:7" ht="30" customHeight="1" x14ac:dyDescent="0.3">
      <c r="A70" s="18"/>
      <c r="B70" s="18"/>
      <c r="C70" s="18"/>
      <c r="D70" s="18" t="s">
        <v>140</v>
      </c>
      <c r="E70" s="18" t="s">
        <v>106</v>
      </c>
      <c r="F70" s="18" t="s">
        <v>59</v>
      </c>
      <c r="G70" s="18" t="str">
        <f>F08_TraCuuTimesheet!A35</f>
        <v>TIME_SearchTimesheet_27</v>
      </c>
    </row>
    <row r="71" spans="1:7" ht="30" customHeight="1" x14ac:dyDescent="0.3">
      <c r="A71" s="18"/>
      <c r="B71" s="18"/>
      <c r="C71" s="18"/>
      <c r="D71" s="18" t="s">
        <v>141</v>
      </c>
      <c r="E71" s="18" t="s">
        <v>106</v>
      </c>
      <c r="F71" s="18" t="s">
        <v>59</v>
      </c>
      <c r="G71" s="18" t="str">
        <f>F08_TraCuuTimesheet!A36</f>
        <v>TIME_SearchTimesheet_28</v>
      </c>
    </row>
    <row r="72" spans="1:7" ht="16.5" customHeight="1" x14ac:dyDescent="0.3">
      <c r="A72" s="18"/>
      <c r="B72" s="18"/>
      <c r="C72" s="18"/>
      <c r="D72" s="18" t="s">
        <v>142</v>
      </c>
      <c r="E72" s="18" t="s">
        <v>106</v>
      </c>
      <c r="F72" s="18"/>
      <c r="G72" s="18" t="str">
        <f>F08_TraCuuTimesheet!A37</f>
        <v>TIME_SearchTimesheet_29</v>
      </c>
    </row>
    <row r="73" spans="1:7" ht="16.5" customHeight="1" x14ac:dyDescent="0.3">
      <c r="A73" s="17" t="s">
        <v>37</v>
      </c>
      <c r="B73" s="18" t="s">
        <v>143</v>
      </c>
      <c r="C73" s="18" t="s">
        <v>62</v>
      </c>
      <c r="D73" s="18" t="s">
        <v>144</v>
      </c>
      <c r="E73" s="18" t="s">
        <v>56</v>
      </c>
      <c r="F73" s="18"/>
      <c r="G73" s="18" t="str">
        <f>F09_GuiVaXuLy!A9</f>
        <v>TIME_SubmitProcess_01</v>
      </c>
    </row>
    <row r="74" spans="1:7" ht="16.5" customHeight="1" x14ac:dyDescent="0.3">
      <c r="A74" s="18"/>
      <c r="B74" s="18"/>
      <c r="C74" s="18"/>
      <c r="D74" s="18" t="s">
        <v>145</v>
      </c>
      <c r="E74" s="18" t="s">
        <v>56</v>
      </c>
      <c r="F74" s="18"/>
      <c r="G74" s="18" t="str">
        <f>F09_GuiVaXuLy!A10</f>
        <v>TIME_SubmitProcess_02</v>
      </c>
    </row>
    <row r="75" spans="1:7" ht="30" customHeight="1" x14ac:dyDescent="0.3">
      <c r="A75" s="18"/>
      <c r="B75" s="18"/>
      <c r="C75" s="18"/>
      <c r="D75" s="18" t="s">
        <v>146</v>
      </c>
      <c r="E75" s="18" t="s">
        <v>56</v>
      </c>
      <c r="F75" s="18" t="s">
        <v>59</v>
      </c>
      <c r="G75" s="18" t="str">
        <f>F09_GuiVaXuLy!A11</f>
        <v>TIME_SubmitProcess_03</v>
      </c>
    </row>
    <row r="76" spans="1:7" ht="16.5" customHeight="1" x14ac:dyDescent="0.3">
      <c r="A76" s="18"/>
      <c r="B76" s="18"/>
      <c r="C76" s="18"/>
      <c r="D76" s="18" t="s">
        <v>147</v>
      </c>
      <c r="E76" s="18" t="s">
        <v>56</v>
      </c>
      <c r="F76" s="18"/>
      <c r="G76" s="18" t="str">
        <f>F09_GuiVaXuLy!A12</f>
        <v>TIME_SubmitProcess_04</v>
      </c>
    </row>
    <row r="77" spans="1:7" ht="30" customHeight="1" x14ac:dyDescent="0.3">
      <c r="A77" s="18"/>
      <c r="B77" s="18"/>
      <c r="C77" s="18"/>
      <c r="D77" s="18" t="s">
        <v>148</v>
      </c>
      <c r="E77" s="18" t="s">
        <v>56</v>
      </c>
      <c r="F77" s="18" t="s">
        <v>59</v>
      </c>
      <c r="G77" s="18" t="str">
        <f>F09_GuiVaXuLy!A13</f>
        <v>TIME_SubmitProcess_05</v>
      </c>
    </row>
    <row r="78" spans="1:7" ht="16.5" customHeight="1" x14ac:dyDescent="0.3">
      <c r="A78" s="18"/>
      <c r="B78" s="18"/>
      <c r="C78" s="18" t="s">
        <v>75</v>
      </c>
      <c r="D78" s="18" t="s">
        <v>149</v>
      </c>
      <c r="E78" s="18" t="s">
        <v>77</v>
      </c>
      <c r="F78" s="18"/>
      <c r="G78" s="18" t="str">
        <f>F09_GuiVaXuLy!A14</f>
        <v>TIME_SubmitProcess_06</v>
      </c>
    </row>
    <row r="79" spans="1:7" ht="30" customHeight="1" x14ac:dyDescent="0.3">
      <c r="A79" s="18"/>
      <c r="B79" s="18"/>
      <c r="C79" s="18"/>
      <c r="D79" s="18" t="s">
        <v>150</v>
      </c>
      <c r="E79" s="18" t="s">
        <v>77</v>
      </c>
      <c r="F79" s="18" t="s">
        <v>59</v>
      </c>
      <c r="G79" s="18" t="str">
        <f>F09_GuiVaXuLy!A15</f>
        <v>TIME_SubmitProcess_07</v>
      </c>
    </row>
    <row r="80" spans="1:7" ht="16.5" customHeight="1" x14ac:dyDescent="0.3">
      <c r="A80" s="18"/>
      <c r="B80" s="18"/>
      <c r="C80" s="18"/>
      <c r="D80" s="18" t="s">
        <v>151</v>
      </c>
      <c r="E80" s="18" t="s">
        <v>77</v>
      </c>
      <c r="F80" s="18"/>
      <c r="G80" s="18" t="str">
        <f>F09_GuiVaXuLy!A16</f>
        <v>TIME_SubmitProcess_08</v>
      </c>
    </row>
    <row r="81" spans="1:7" ht="30" customHeight="1" x14ac:dyDescent="0.3">
      <c r="A81" s="18"/>
      <c r="B81" s="18"/>
      <c r="C81" s="18" t="s">
        <v>89</v>
      </c>
      <c r="D81" s="18" t="s">
        <v>152</v>
      </c>
      <c r="E81" s="18" t="s">
        <v>91</v>
      </c>
      <c r="F81" s="18" t="s">
        <v>59</v>
      </c>
      <c r="G81" s="18" t="str">
        <f>F09_GuiVaXuLy!A17</f>
        <v>TIME_SubmitProcess_09</v>
      </c>
    </row>
    <row r="82" spans="1:7" ht="16.5" customHeight="1" x14ac:dyDescent="0.3">
      <c r="A82" s="18"/>
      <c r="B82" s="18"/>
      <c r="C82" s="18"/>
      <c r="D82" s="18" t="s">
        <v>153</v>
      </c>
      <c r="E82" s="18" t="s">
        <v>91</v>
      </c>
      <c r="F82" s="18"/>
      <c r="G82" s="18" t="str">
        <f>F09_GuiVaXuLy!A18</f>
        <v>TIME_SubmitProcess_10</v>
      </c>
    </row>
    <row r="83" spans="1:7" ht="16.5" customHeight="1" x14ac:dyDescent="0.3">
      <c r="A83" s="18"/>
      <c r="B83" s="18"/>
      <c r="C83" s="18"/>
      <c r="D83" s="18" t="s">
        <v>154</v>
      </c>
      <c r="E83" s="18" t="s">
        <v>91</v>
      </c>
      <c r="F83" s="18"/>
      <c r="G83" s="18" t="str">
        <f>F09_GuiVaXuLy!A19</f>
        <v>TIME_SubmitProcess_11</v>
      </c>
    </row>
    <row r="84" spans="1:7" ht="16.5" customHeight="1" x14ac:dyDescent="0.3">
      <c r="A84" s="18"/>
      <c r="B84" s="18"/>
      <c r="C84" s="18"/>
      <c r="D84" s="18" t="s">
        <v>155</v>
      </c>
      <c r="E84" s="18" t="s">
        <v>91</v>
      </c>
      <c r="F84" s="18"/>
      <c r="G84" s="18" t="str">
        <f>F09_GuiVaXuLy!A20</f>
        <v>TIME_SubmitProcess_12</v>
      </c>
    </row>
    <row r="85" spans="1:7" ht="30" customHeight="1" x14ac:dyDescent="0.3">
      <c r="A85" s="18"/>
      <c r="B85" s="18" t="s">
        <v>156</v>
      </c>
      <c r="C85" s="18" t="s">
        <v>62</v>
      </c>
      <c r="D85" s="18" t="s">
        <v>157</v>
      </c>
      <c r="E85" s="18" t="s">
        <v>56</v>
      </c>
      <c r="F85" s="18"/>
      <c r="G85" s="18" t="str">
        <f>F09_GuiVaXuLy!A21</f>
        <v>TIME_SubmitProcess_13</v>
      </c>
    </row>
    <row r="86" spans="1:7" ht="30" customHeight="1" x14ac:dyDescent="0.3">
      <c r="A86" s="18"/>
      <c r="B86" s="18"/>
      <c r="C86" s="18"/>
      <c r="D86" s="18" t="s">
        <v>158</v>
      </c>
      <c r="E86" s="18" t="s">
        <v>56</v>
      </c>
      <c r="F86" s="18" t="s">
        <v>59</v>
      </c>
      <c r="G86" s="18" t="str">
        <f>F09_GuiVaXuLy!A22</f>
        <v>TIME_SubmitProcess_14</v>
      </c>
    </row>
    <row r="87" spans="1:7" ht="30" customHeight="1" x14ac:dyDescent="0.3">
      <c r="A87" s="18"/>
      <c r="B87" s="18"/>
      <c r="C87" s="18"/>
      <c r="D87" s="18" t="s">
        <v>159</v>
      </c>
      <c r="E87" s="18" t="s">
        <v>56</v>
      </c>
      <c r="F87" s="18"/>
      <c r="G87" s="18" t="str">
        <f>F09_GuiVaXuLy!A23</f>
        <v>TIME_SubmitProcess_15</v>
      </c>
    </row>
    <row r="88" spans="1:7" ht="30" customHeight="1" x14ac:dyDescent="0.3">
      <c r="A88" s="18"/>
      <c r="B88" s="18"/>
      <c r="C88" s="18"/>
      <c r="D88" s="18" t="s">
        <v>160</v>
      </c>
      <c r="E88" s="18" t="s">
        <v>56</v>
      </c>
      <c r="F88" s="18" t="s">
        <v>59</v>
      </c>
      <c r="G88" s="18" t="str">
        <f>F09_GuiVaXuLy!A24</f>
        <v>TIME_SubmitProcess_16</v>
      </c>
    </row>
    <row r="89" spans="1:7" ht="30" customHeight="1" x14ac:dyDescent="0.3">
      <c r="A89" s="18"/>
      <c r="B89" s="18"/>
      <c r="C89" s="18"/>
      <c r="D89" s="18" t="s">
        <v>161</v>
      </c>
      <c r="E89" s="18" t="s">
        <v>56</v>
      </c>
      <c r="F89" s="18"/>
      <c r="G89" s="18" t="str">
        <f>F09_GuiVaXuLy!A25</f>
        <v>TIME_SubmitProcess_17</v>
      </c>
    </row>
    <row r="90" spans="1:7" ht="30" customHeight="1" x14ac:dyDescent="0.3">
      <c r="A90" s="18"/>
      <c r="B90" s="18"/>
      <c r="C90" s="18"/>
      <c r="D90" s="18" t="s">
        <v>162</v>
      </c>
      <c r="E90" s="18" t="s">
        <v>56</v>
      </c>
      <c r="F90" s="18"/>
      <c r="G90" s="18" t="str">
        <f>F09_GuiVaXuLy!A26</f>
        <v>TIME_SubmitProcess_18</v>
      </c>
    </row>
    <row r="91" spans="1:7" ht="30" customHeight="1" x14ac:dyDescent="0.3">
      <c r="A91" s="18"/>
      <c r="B91" s="18"/>
      <c r="C91" s="18"/>
      <c r="D91" s="18" t="s">
        <v>163</v>
      </c>
      <c r="E91" s="18" t="s">
        <v>56</v>
      </c>
      <c r="F91" s="18"/>
      <c r="G91" s="18" t="str">
        <f>F09_GuiVaXuLy!A27</f>
        <v>TIME_SubmitProcess_19</v>
      </c>
    </row>
    <row r="92" spans="1:7" ht="30" customHeight="1" x14ac:dyDescent="0.3">
      <c r="A92" s="18"/>
      <c r="B92" s="18"/>
      <c r="C92" s="18"/>
      <c r="D92" s="18" t="s">
        <v>164</v>
      </c>
      <c r="E92" s="18" t="s">
        <v>56</v>
      </c>
      <c r="F92" s="18"/>
      <c r="G92" s="18" t="str">
        <f>F09_GuiVaXuLy!A28</f>
        <v>TIME_SubmitProcess_20</v>
      </c>
    </row>
    <row r="93" spans="1:7" ht="30" customHeight="1" x14ac:dyDescent="0.3">
      <c r="A93" s="18"/>
      <c r="B93" s="18"/>
      <c r="C93" s="18"/>
      <c r="D93" s="18" t="s">
        <v>165</v>
      </c>
      <c r="E93" s="18" t="s">
        <v>56</v>
      </c>
      <c r="F93" s="18"/>
      <c r="G93" s="18" t="str">
        <f>F09_GuiVaXuLy!A29</f>
        <v>TIME_SubmitProcess_21</v>
      </c>
    </row>
    <row r="94" spans="1:7" ht="30" customHeight="1" x14ac:dyDescent="0.3">
      <c r="A94" s="18"/>
      <c r="B94" s="18"/>
      <c r="C94" s="18"/>
      <c r="D94" s="18" t="s">
        <v>166</v>
      </c>
      <c r="E94" s="18" t="s">
        <v>56</v>
      </c>
      <c r="F94" s="18" t="s">
        <v>59</v>
      </c>
      <c r="G94" s="18" t="str">
        <f>F09_GuiVaXuLy!A30</f>
        <v>TIME_SubmitProcess_22</v>
      </c>
    </row>
    <row r="95" spans="1:7" ht="30" customHeight="1" x14ac:dyDescent="0.3">
      <c r="A95" s="18"/>
      <c r="B95" s="18"/>
      <c r="C95" s="18"/>
      <c r="D95" s="18" t="s">
        <v>167</v>
      </c>
      <c r="E95" s="18" t="s">
        <v>56</v>
      </c>
      <c r="F95" s="18" t="s">
        <v>59</v>
      </c>
      <c r="G95" s="18" t="str">
        <f>F09_GuiVaXuLy!A31</f>
        <v>TIME_SubmitProcess_23</v>
      </c>
    </row>
    <row r="96" spans="1:7" ht="30" customHeight="1" x14ac:dyDescent="0.3">
      <c r="A96" s="18"/>
      <c r="B96" s="18"/>
      <c r="C96" s="18" t="s">
        <v>75</v>
      </c>
      <c r="D96" s="18" t="s">
        <v>168</v>
      </c>
      <c r="E96" s="18" t="s">
        <v>77</v>
      </c>
      <c r="F96" s="18" t="s">
        <v>59</v>
      </c>
      <c r="G96" s="18" t="str">
        <f>F09_GuiVaXuLy!A32</f>
        <v>TIME_SubmitProcess_24</v>
      </c>
    </row>
    <row r="97" spans="1:7" ht="30" customHeight="1" x14ac:dyDescent="0.3">
      <c r="A97" s="18"/>
      <c r="B97" s="18"/>
      <c r="C97" s="18"/>
      <c r="D97" s="18" t="s">
        <v>169</v>
      </c>
      <c r="E97" s="18" t="s">
        <v>77</v>
      </c>
      <c r="F97" s="18" t="s">
        <v>59</v>
      </c>
      <c r="G97" s="18" t="str">
        <f>F09_GuiVaXuLy!A33</f>
        <v>TIME_SubmitProcess_25</v>
      </c>
    </row>
    <row r="98" spans="1:7" ht="30" customHeight="1" x14ac:dyDescent="0.3">
      <c r="A98" s="18"/>
      <c r="B98" s="18"/>
      <c r="C98" s="18"/>
      <c r="D98" s="18" t="s">
        <v>170</v>
      </c>
      <c r="E98" s="18" t="s">
        <v>77</v>
      </c>
      <c r="F98" s="18"/>
      <c r="G98" s="18" t="str">
        <f>F09_GuiVaXuLy!A34</f>
        <v>TIME_SubmitProcess_26</v>
      </c>
    </row>
    <row r="99" spans="1:7" ht="30" customHeight="1" x14ac:dyDescent="0.3">
      <c r="A99" s="18"/>
      <c r="B99" s="18"/>
      <c r="C99" s="18"/>
      <c r="D99" s="18" t="s">
        <v>171</v>
      </c>
      <c r="E99" s="18" t="s">
        <v>77</v>
      </c>
      <c r="F99" s="18" t="s">
        <v>59</v>
      </c>
      <c r="G99" s="18" t="str">
        <f>F09_GuiVaXuLy!A35</f>
        <v>TIME_SubmitProcess_27</v>
      </c>
    </row>
    <row r="100" spans="1:7" ht="30" customHeight="1" x14ac:dyDescent="0.3">
      <c r="A100" s="18"/>
      <c r="B100" s="18"/>
      <c r="C100" s="18" t="s">
        <v>89</v>
      </c>
      <c r="D100" s="18" t="s">
        <v>172</v>
      </c>
      <c r="E100" s="18" t="s">
        <v>91</v>
      </c>
      <c r="F100" s="18"/>
      <c r="G100" s="18" t="str">
        <f>F09_GuiVaXuLy!A36</f>
        <v>TIME_SubmitProcess_28</v>
      </c>
    </row>
    <row r="101" spans="1:7" ht="30" customHeight="1" x14ac:dyDescent="0.3">
      <c r="A101" s="18"/>
      <c r="B101" s="18"/>
      <c r="C101" s="18"/>
      <c r="D101" s="18" t="s">
        <v>173</v>
      </c>
      <c r="E101" s="18" t="s">
        <v>91</v>
      </c>
      <c r="F101" s="18" t="s">
        <v>59</v>
      </c>
      <c r="G101" s="18" t="str">
        <f>F09_GuiVaXuLy!A37</f>
        <v>TIME_SubmitProcess_29</v>
      </c>
    </row>
    <row r="102" spans="1:7" ht="30" customHeight="1" x14ac:dyDescent="0.3">
      <c r="A102" s="18"/>
      <c r="B102" s="18"/>
      <c r="C102" s="18"/>
      <c r="D102" s="18" t="s">
        <v>174</v>
      </c>
      <c r="E102" s="18" t="s">
        <v>91</v>
      </c>
      <c r="F102" s="18"/>
      <c r="G102" s="18" t="str">
        <f>F09_GuiVaXuLy!A38</f>
        <v>TIME_SubmitProcess_30</v>
      </c>
    </row>
    <row r="103" spans="1:7" ht="16.5" customHeight="1" x14ac:dyDescent="0.3">
      <c r="A103" s="18"/>
      <c r="B103" s="18" t="s">
        <v>175</v>
      </c>
      <c r="C103" s="18" t="s">
        <v>106</v>
      </c>
      <c r="D103" s="18" t="s">
        <v>176</v>
      </c>
      <c r="E103" s="18" t="s">
        <v>106</v>
      </c>
      <c r="F103" s="18"/>
      <c r="G103" s="18" t="str">
        <f>F09_GuiVaXuLy!A39</f>
        <v>TIME_SubmitProcess_31</v>
      </c>
    </row>
    <row r="104" spans="1:7" ht="30" customHeight="1" x14ac:dyDescent="0.3">
      <c r="A104" s="18"/>
      <c r="B104" s="18"/>
      <c r="C104" s="18"/>
      <c r="D104" s="18" t="s">
        <v>177</v>
      </c>
      <c r="E104" s="18" t="s">
        <v>106</v>
      </c>
      <c r="F104" s="18" t="s">
        <v>59</v>
      </c>
      <c r="G104" s="18" t="str">
        <f>F09_GuiVaXuLy!A40</f>
        <v>TIME_SubmitProcess_32</v>
      </c>
    </row>
    <row r="105" spans="1:7" ht="16.5" customHeight="1" x14ac:dyDescent="0.3">
      <c r="A105" s="18"/>
      <c r="B105" s="18"/>
      <c r="C105" s="18"/>
      <c r="D105" s="18" t="s">
        <v>178</v>
      </c>
      <c r="E105" s="18" t="s">
        <v>56</v>
      </c>
      <c r="F105" s="18"/>
      <c r="G105" s="18" t="str">
        <f>F09_GuiVaXuLy!A41</f>
        <v>TIME_SubmitProcess_33</v>
      </c>
    </row>
    <row r="106" spans="1:7" ht="30" customHeight="1" x14ac:dyDescent="0.3">
      <c r="A106" s="18"/>
      <c r="B106" s="18"/>
      <c r="C106" s="18"/>
      <c r="D106" s="18" t="s">
        <v>179</v>
      </c>
      <c r="E106" s="18" t="s">
        <v>106</v>
      </c>
      <c r="F106" s="18" t="s">
        <v>59</v>
      </c>
      <c r="G106" s="18" t="str">
        <f>F09_GuiVaXuLy!A42</f>
        <v>TIME_SubmitProcess_34</v>
      </c>
    </row>
    <row r="107" spans="1:7" ht="30" customHeight="1" x14ac:dyDescent="0.3">
      <c r="A107" s="18"/>
      <c r="B107" s="18"/>
      <c r="C107" s="18"/>
      <c r="D107" s="18" t="s">
        <v>180</v>
      </c>
      <c r="E107" s="18" t="s">
        <v>106</v>
      </c>
      <c r="F107" s="18"/>
      <c r="G107" s="18" t="str">
        <f>F09_GuiVaXuLy!A43</f>
        <v>TIME_SubmitProcess_35</v>
      </c>
    </row>
    <row r="108" spans="1:7" ht="16.5" customHeight="1" x14ac:dyDescent="0.3">
      <c r="A108" s="18"/>
      <c r="B108" s="18"/>
      <c r="C108" s="18"/>
      <c r="D108" s="18" t="s">
        <v>181</v>
      </c>
      <c r="E108" s="18" t="s">
        <v>106</v>
      </c>
      <c r="F108" s="18"/>
      <c r="G108" s="18" t="str">
        <f>F09_GuiVaXuLy!A44</f>
        <v>TIME_SubmitProcess_36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showGridLines="0" zoomScaleNormal="100" workbookViewId="0">
      <pane ySplit="8" topLeftCell="A42" activePane="bottomLeft" state="frozen"/>
      <selection pane="bottomLeft" activeCell="A6" sqref="A6"/>
    </sheetView>
  </sheetViews>
  <sheetFormatPr defaultColWidth="8.6640625" defaultRowHeight="14.4" x14ac:dyDescent="0.3"/>
  <cols>
    <col min="1" max="1" width="27" customWidth="1"/>
    <col min="2" max="2" width="36" customWidth="1"/>
    <col min="3" max="3" width="62" customWidth="1"/>
    <col min="4" max="4" width="54" customWidth="1"/>
    <col min="5" max="5" width="28" customWidth="1"/>
    <col min="6" max="6" width="11" customWidth="1"/>
    <col min="7" max="7" width="12" customWidth="1"/>
    <col min="8" max="8" width="32" customWidth="1"/>
    <col min="9" max="9" width="3" customWidth="1"/>
    <col min="10" max="10" width="10" customWidth="1"/>
  </cols>
  <sheetData>
    <row r="2" spans="1:10" ht="15" customHeight="1" x14ac:dyDescent="0.3">
      <c r="A2" s="19" t="s">
        <v>182</v>
      </c>
      <c r="B2" s="32" t="s">
        <v>183</v>
      </c>
      <c r="C2" s="32"/>
      <c r="D2" s="32"/>
      <c r="E2" s="32"/>
      <c r="F2" s="32"/>
      <c r="G2" s="32"/>
      <c r="H2" s="32"/>
      <c r="J2" s="20" t="s">
        <v>184</v>
      </c>
    </row>
    <row r="3" spans="1:10" ht="15" customHeight="1" x14ac:dyDescent="0.3">
      <c r="A3" s="19" t="s">
        <v>185</v>
      </c>
      <c r="B3" s="32" t="s">
        <v>29</v>
      </c>
      <c r="C3" s="32"/>
      <c r="D3" s="32"/>
      <c r="E3" s="32"/>
      <c r="F3" s="32"/>
      <c r="G3" s="32"/>
      <c r="H3" s="32"/>
      <c r="J3" s="20" t="s">
        <v>186</v>
      </c>
    </row>
    <row r="4" spans="1:10" x14ac:dyDescent="0.3">
      <c r="A4" s="19" t="s">
        <v>187</v>
      </c>
      <c r="B4" s="32" t="str">
        <f>Cover!G4</f>
        <v>Nguyễn Thị Hồng Châu</v>
      </c>
      <c r="C4" s="32"/>
      <c r="D4" s="32"/>
      <c r="E4" s="32"/>
      <c r="F4" s="32"/>
      <c r="G4" s="32"/>
      <c r="H4" s="32"/>
      <c r="J4" s="20" t="s">
        <v>188</v>
      </c>
    </row>
    <row r="5" spans="1:10" x14ac:dyDescent="0.3">
      <c r="A5" s="21" t="s">
        <v>184</v>
      </c>
      <c r="B5" s="21" t="s">
        <v>186</v>
      </c>
      <c r="C5" s="21" t="s">
        <v>189</v>
      </c>
      <c r="D5" s="21" t="s">
        <v>188</v>
      </c>
      <c r="E5" s="21" t="s">
        <v>190</v>
      </c>
      <c r="F5" s="35" t="s">
        <v>191</v>
      </c>
      <c r="G5" s="35"/>
      <c r="H5" s="35"/>
      <c r="J5" s="20" t="s">
        <v>189</v>
      </c>
    </row>
    <row r="6" spans="1:10" x14ac:dyDescent="0.3">
      <c r="A6" s="22">
        <f>COUNTIF(F9:F90,"Passed")</f>
        <v>0</v>
      </c>
      <c r="B6" s="22">
        <f>COUNTIF(F9:F90,"Failed")</f>
        <v>0</v>
      </c>
      <c r="C6" s="22">
        <f>F6-E6-D6-B6-A6</f>
        <v>42</v>
      </c>
      <c r="D6" s="22">
        <f>COUNTIF(F9:F90,"Blocked")</f>
        <v>0</v>
      </c>
      <c r="E6" s="22">
        <f>COUNTIF(F9:F90,"Skipped")</f>
        <v>0</v>
      </c>
      <c r="F6" s="36">
        <f>COUNTA(A9:A90)</f>
        <v>42</v>
      </c>
      <c r="G6" s="36"/>
      <c r="H6" s="36"/>
      <c r="J6" s="20" t="s">
        <v>190</v>
      </c>
    </row>
    <row r="8" spans="1:10" ht="25.5" customHeight="1" x14ac:dyDescent="0.3">
      <c r="A8" s="5" t="s">
        <v>192</v>
      </c>
      <c r="B8" s="5" t="s">
        <v>193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198</v>
      </c>
      <c r="H8" s="5" t="s">
        <v>51</v>
      </c>
    </row>
    <row r="9" spans="1:10" ht="133.5" customHeight="1" x14ac:dyDescent="0.3">
      <c r="A9" s="13" t="str">
        <f t="shared" ref="A9:A50" si="0">IF(OR(B9&lt;&gt;"",D9&lt;&gt;""),$B$2&amp;"_"&amp;TEXT(ROW()-8,"00"),"")</f>
        <v>TIME_CreateTimesheet_01</v>
      </c>
      <c r="B9" s="13" t="s">
        <v>55</v>
      </c>
      <c r="C9" s="13" t="s">
        <v>199</v>
      </c>
      <c r="D9" s="13" t="s">
        <v>200</v>
      </c>
      <c r="E9" s="13" t="s">
        <v>201</v>
      </c>
      <c r="F9" s="23" t="s">
        <v>189</v>
      </c>
      <c r="G9" s="24"/>
      <c r="H9" s="13"/>
    </row>
    <row r="10" spans="1:10" ht="147" customHeight="1" x14ac:dyDescent="0.3">
      <c r="A10" s="13" t="str">
        <f t="shared" si="0"/>
        <v>TIME_CreateTimesheet_02</v>
      </c>
      <c r="B10" s="13" t="s">
        <v>57</v>
      </c>
      <c r="C10" s="13" t="s">
        <v>202</v>
      </c>
      <c r="D10" s="13" t="s">
        <v>203</v>
      </c>
      <c r="E10" s="13" t="s">
        <v>201</v>
      </c>
      <c r="F10" s="23" t="s">
        <v>189</v>
      </c>
      <c r="G10" s="24"/>
      <c r="H10" s="13" t="s">
        <v>59</v>
      </c>
    </row>
    <row r="11" spans="1:10" ht="147" customHeight="1" x14ac:dyDescent="0.3">
      <c r="A11" s="13" t="str">
        <f t="shared" si="0"/>
        <v>TIME_CreateTimesheet_03</v>
      </c>
      <c r="B11" s="13" t="s">
        <v>60</v>
      </c>
      <c r="C11" s="13" t="s">
        <v>202</v>
      </c>
      <c r="D11" s="13" t="s">
        <v>204</v>
      </c>
      <c r="E11" s="13" t="s">
        <v>201</v>
      </c>
      <c r="F11" s="23" t="s">
        <v>189</v>
      </c>
      <c r="G11" s="24"/>
      <c r="H11" s="13"/>
    </row>
    <row r="12" spans="1:10" ht="211.5" customHeight="1" x14ac:dyDescent="0.3">
      <c r="A12" s="13" t="str">
        <f t="shared" si="0"/>
        <v>TIME_CreateTimesheet_04</v>
      </c>
      <c r="B12" s="13" t="s">
        <v>63</v>
      </c>
      <c r="C12" s="13" t="s">
        <v>205</v>
      </c>
      <c r="D12" s="13" t="s">
        <v>206</v>
      </c>
      <c r="E12" s="13" t="s">
        <v>201</v>
      </c>
      <c r="F12" s="23" t="s">
        <v>189</v>
      </c>
      <c r="G12" s="24"/>
      <c r="H12" s="13"/>
    </row>
    <row r="13" spans="1:10" ht="211.5" customHeight="1" x14ac:dyDescent="0.3">
      <c r="A13" s="13" t="str">
        <f t="shared" si="0"/>
        <v>TIME_CreateTimesheet_05</v>
      </c>
      <c r="B13" s="13" t="s">
        <v>64</v>
      </c>
      <c r="C13" s="13" t="s">
        <v>207</v>
      </c>
      <c r="D13" s="13" t="s">
        <v>208</v>
      </c>
      <c r="E13" s="13" t="s">
        <v>201</v>
      </c>
      <c r="F13" s="23" t="s">
        <v>189</v>
      </c>
      <c r="G13" s="24"/>
      <c r="H13" s="13"/>
    </row>
    <row r="14" spans="1:10" ht="211.5" customHeight="1" x14ac:dyDescent="0.3">
      <c r="A14" s="13" t="str">
        <f t="shared" si="0"/>
        <v>TIME_CreateTimesheet_06</v>
      </c>
      <c r="B14" s="13" t="s">
        <v>65</v>
      </c>
      <c r="C14" s="13" t="s">
        <v>209</v>
      </c>
      <c r="D14" s="13" t="s">
        <v>210</v>
      </c>
      <c r="E14" s="13" t="s">
        <v>201</v>
      </c>
      <c r="F14" s="23" t="s">
        <v>189</v>
      </c>
      <c r="G14" s="24"/>
      <c r="H14" s="13" t="s">
        <v>59</v>
      </c>
    </row>
    <row r="15" spans="1:10" ht="211.5" customHeight="1" x14ac:dyDescent="0.3">
      <c r="A15" s="13" t="str">
        <f t="shared" si="0"/>
        <v>TIME_CreateTimesheet_07</v>
      </c>
      <c r="B15" s="13" t="s">
        <v>66</v>
      </c>
      <c r="C15" s="13" t="s">
        <v>211</v>
      </c>
      <c r="D15" s="13" t="s">
        <v>212</v>
      </c>
      <c r="E15" s="13" t="s">
        <v>201</v>
      </c>
      <c r="F15" s="23" t="s">
        <v>189</v>
      </c>
      <c r="G15" s="24"/>
      <c r="H15" s="13"/>
    </row>
    <row r="16" spans="1:10" ht="211.5" customHeight="1" x14ac:dyDescent="0.3">
      <c r="A16" s="13" t="str">
        <f t="shared" si="0"/>
        <v>TIME_CreateTimesheet_08</v>
      </c>
      <c r="B16" s="13" t="s">
        <v>67</v>
      </c>
      <c r="C16" s="13" t="s">
        <v>213</v>
      </c>
      <c r="D16" s="13" t="s">
        <v>214</v>
      </c>
      <c r="E16" s="13" t="s">
        <v>201</v>
      </c>
      <c r="F16" s="23" t="s">
        <v>189</v>
      </c>
      <c r="G16" s="24"/>
      <c r="H16" s="13"/>
    </row>
    <row r="17" spans="1:8" ht="276.75" customHeight="1" x14ac:dyDescent="0.3">
      <c r="A17" s="13" t="str">
        <f t="shared" si="0"/>
        <v>TIME_CreateTimesheet_09</v>
      </c>
      <c r="B17" s="13" t="s">
        <v>68</v>
      </c>
      <c r="C17" s="13" t="s">
        <v>215</v>
      </c>
      <c r="D17" s="13" t="s">
        <v>216</v>
      </c>
      <c r="E17" s="13" t="s">
        <v>201</v>
      </c>
      <c r="F17" s="23" t="s">
        <v>189</v>
      </c>
      <c r="G17" s="24"/>
      <c r="H17" s="13"/>
    </row>
    <row r="18" spans="1:8" ht="276.75" customHeight="1" x14ac:dyDescent="0.3">
      <c r="A18" s="13" t="str">
        <f t="shared" si="0"/>
        <v>TIME_CreateTimesheet_10</v>
      </c>
      <c r="B18" s="13" t="s">
        <v>69</v>
      </c>
      <c r="C18" s="13" t="s">
        <v>217</v>
      </c>
      <c r="D18" s="13" t="s">
        <v>218</v>
      </c>
      <c r="E18" s="13" t="s">
        <v>201</v>
      </c>
      <c r="F18" s="23" t="s">
        <v>189</v>
      </c>
      <c r="G18" s="24"/>
      <c r="H18" s="13"/>
    </row>
    <row r="19" spans="1:8" ht="159.75" customHeight="1" x14ac:dyDescent="0.3">
      <c r="A19" s="13" t="str">
        <f t="shared" si="0"/>
        <v>TIME_CreateTimesheet_11</v>
      </c>
      <c r="B19" s="13" t="s">
        <v>70</v>
      </c>
      <c r="C19" s="13" t="s">
        <v>219</v>
      </c>
      <c r="D19" s="13" t="s">
        <v>220</v>
      </c>
      <c r="E19" s="13" t="s">
        <v>201</v>
      </c>
      <c r="F19" s="23" t="s">
        <v>189</v>
      </c>
      <c r="G19" s="24"/>
      <c r="H19" s="13"/>
    </row>
    <row r="20" spans="1:8" ht="289.5" customHeight="1" x14ac:dyDescent="0.3">
      <c r="A20" s="13" t="str">
        <f t="shared" si="0"/>
        <v>TIME_CreateTimesheet_12</v>
      </c>
      <c r="B20" s="13" t="s">
        <v>71</v>
      </c>
      <c r="C20" s="13" t="s">
        <v>221</v>
      </c>
      <c r="D20" s="13" t="s">
        <v>222</v>
      </c>
      <c r="E20" s="13" t="s">
        <v>201</v>
      </c>
      <c r="F20" s="23" t="s">
        <v>189</v>
      </c>
      <c r="G20" s="24"/>
      <c r="H20" s="13"/>
    </row>
    <row r="21" spans="1:8" ht="237.75" customHeight="1" x14ac:dyDescent="0.3">
      <c r="A21" s="13" t="str">
        <f t="shared" si="0"/>
        <v>TIME_CreateTimesheet_13</v>
      </c>
      <c r="B21" s="13" t="s">
        <v>72</v>
      </c>
      <c r="C21" s="13" t="s">
        <v>223</v>
      </c>
      <c r="D21" s="13" t="s">
        <v>224</v>
      </c>
      <c r="E21" s="13" t="s">
        <v>201</v>
      </c>
      <c r="F21" s="23" t="s">
        <v>189</v>
      </c>
      <c r="G21" s="24"/>
      <c r="H21" s="13"/>
    </row>
    <row r="22" spans="1:8" ht="211.5" customHeight="1" x14ac:dyDescent="0.3">
      <c r="A22" s="13" t="str">
        <f t="shared" si="0"/>
        <v>TIME_CreateTimesheet_14</v>
      </c>
      <c r="B22" s="13" t="s">
        <v>73</v>
      </c>
      <c r="C22" s="13" t="s">
        <v>225</v>
      </c>
      <c r="D22" s="13" t="s">
        <v>226</v>
      </c>
      <c r="E22" s="13" t="s">
        <v>201</v>
      </c>
      <c r="F22" s="23" t="s">
        <v>189</v>
      </c>
      <c r="G22" s="24"/>
      <c r="H22" s="13"/>
    </row>
    <row r="23" spans="1:8" ht="211.5" customHeight="1" x14ac:dyDescent="0.3">
      <c r="A23" s="13" t="str">
        <f t="shared" si="0"/>
        <v>TIME_CreateTimesheet_15</v>
      </c>
      <c r="B23" s="13" t="s">
        <v>74</v>
      </c>
      <c r="C23" s="13" t="s">
        <v>227</v>
      </c>
      <c r="D23" s="13" t="s">
        <v>228</v>
      </c>
      <c r="E23" s="13" t="s">
        <v>201</v>
      </c>
      <c r="F23" s="23" t="s">
        <v>189</v>
      </c>
      <c r="G23" s="24"/>
      <c r="H23" s="13" t="s">
        <v>59</v>
      </c>
    </row>
    <row r="24" spans="1:8" ht="211.5" customHeight="1" x14ac:dyDescent="0.3">
      <c r="A24" s="13" t="str">
        <f t="shared" si="0"/>
        <v>TIME_CreateTimesheet_16</v>
      </c>
      <c r="B24" s="13" t="s">
        <v>76</v>
      </c>
      <c r="C24" s="13" t="s">
        <v>229</v>
      </c>
      <c r="D24" s="13" t="s">
        <v>230</v>
      </c>
      <c r="E24" s="13" t="s">
        <v>201</v>
      </c>
      <c r="F24" s="23" t="s">
        <v>189</v>
      </c>
      <c r="G24" s="24"/>
      <c r="H24" s="13" t="s">
        <v>59</v>
      </c>
    </row>
    <row r="25" spans="1:8" ht="211.5" customHeight="1" x14ac:dyDescent="0.3">
      <c r="A25" s="13" t="str">
        <f t="shared" si="0"/>
        <v>TIME_CreateTimesheet_17</v>
      </c>
      <c r="B25" s="13" t="s">
        <v>78</v>
      </c>
      <c r="C25" s="13" t="s">
        <v>231</v>
      </c>
      <c r="D25" s="13" t="s">
        <v>232</v>
      </c>
      <c r="E25" s="13" t="s">
        <v>201</v>
      </c>
      <c r="F25" s="23" t="s">
        <v>189</v>
      </c>
      <c r="G25" s="24"/>
      <c r="H25" s="13"/>
    </row>
    <row r="26" spans="1:8" ht="211.5" customHeight="1" x14ac:dyDescent="0.3">
      <c r="A26" s="13" t="str">
        <f t="shared" si="0"/>
        <v>TIME_CreateTimesheet_18</v>
      </c>
      <c r="B26" s="13" t="s">
        <v>79</v>
      </c>
      <c r="C26" s="13" t="s">
        <v>233</v>
      </c>
      <c r="D26" s="13" t="s">
        <v>234</v>
      </c>
      <c r="E26" s="13" t="s">
        <v>201</v>
      </c>
      <c r="F26" s="23" t="s">
        <v>189</v>
      </c>
      <c r="G26" s="24"/>
      <c r="H26" s="13"/>
    </row>
    <row r="27" spans="1:8" ht="211.5" customHeight="1" x14ac:dyDescent="0.3">
      <c r="A27" s="13" t="str">
        <f t="shared" si="0"/>
        <v>TIME_CreateTimesheet_19</v>
      </c>
      <c r="B27" s="13" t="s">
        <v>80</v>
      </c>
      <c r="C27" s="13" t="s">
        <v>235</v>
      </c>
      <c r="D27" s="13" t="s">
        <v>236</v>
      </c>
      <c r="E27" s="13" t="s">
        <v>201</v>
      </c>
      <c r="F27" s="23" t="s">
        <v>189</v>
      </c>
      <c r="G27" s="24"/>
      <c r="H27" s="13" t="s">
        <v>59</v>
      </c>
    </row>
    <row r="28" spans="1:8" ht="211.5" customHeight="1" x14ac:dyDescent="0.3">
      <c r="A28" s="13" t="str">
        <f t="shared" si="0"/>
        <v>TIME_CreateTimesheet_20</v>
      </c>
      <c r="B28" s="13" t="s">
        <v>81</v>
      </c>
      <c r="C28" s="13" t="s">
        <v>237</v>
      </c>
      <c r="D28" s="13" t="s">
        <v>238</v>
      </c>
      <c r="E28" s="13" t="s">
        <v>201</v>
      </c>
      <c r="F28" s="23" t="s">
        <v>189</v>
      </c>
      <c r="G28" s="24"/>
      <c r="H28" s="13"/>
    </row>
    <row r="29" spans="1:8" ht="211.5" customHeight="1" x14ac:dyDescent="0.3">
      <c r="A29" s="13" t="str">
        <f t="shared" si="0"/>
        <v>TIME_CreateTimesheet_21</v>
      </c>
      <c r="B29" s="13" t="s">
        <v>82</v>
      </c>
      <c r="C29" s="13" t="s">
        <v>239</v>
      </c>
      <c r="D29" s="13" t="s">
        <v>240</v>
      </c>
      <c r="E29" s="13" t="s">
        <v>201</v>
      </c>
      <c r="F29" s="23" t="s">
        <v>189</v>
      </c>
      <c r="G29" s="24"/>
      <c r="H29" s="13"/>
    </row>
    <row r="30" spans="1:8" ht="211.5" customHeight="1" x14ac:dyDescent="0.3">
      <c r="A30" s="13" t="str">
        <f t="shared" si="0"/>
        <v>TIME_CreateTimesheet_22</v>
      </c>
      <c r="B30" s="13" t="s">
        <v>83</v>
      </c>
      <c r="C30" s="13" t="s">
        <v>241</v>
      </c>
      <c r="D30" s="13" t="s">
        <v>242</v>
      </c>
      <c r="E30" s="13" t="s">
        <v>201</v>
      </c>
      <c r="F30" s="23" t="s">
        <v>189</v>
      </c>
      <c r="G30" s="24"/>
      <c r="H30" s="13"/>
    </row>
    <row r="31" spans="1:8" ht="211.5" customHeight="1" x14ac:dyDescent="0.3">
      <c r="A31" s="13" t="str">
        <f t="shared" si="0"/>
        <v>TIME_CreateTimesheet_23</v>
      </c>
      <c r="B31" s="13" t="s">
        <v>84</v>
      </c>
      <c r="C31" s="13" t="s">
        <v>243</v>
      </c>
      <c r="D31" s="13" t="s">
        <v>244</v>
      </c>
      <c r="E31" s="13" t="s">
        <v>201</v>
      </c>
      <c r="F31" s="23" t="s">
        <v>189</v>
      </c>
      <c r="G31" s="24"/>
      <c r="H31" s="13" t="s">
        <v>59</v>
      </c>
    </row>
    <row r="32" spans="1:8" ht="276.75" customHeight="1" x14ac:dyDescent="0.3">
      <c r="A32" s="13" t="str">
        <f t="shared" si="0"/>
        <v>TIME_CreateTimesheet_24</v>
      </c>
      <c r="B32" s="13" t="s">
        <v>85</v>
      </c>
      <c r="C32" s="13" t="s">
        <v>245</v>
      </c>
      <c r="D32" s="13" t="s">
        <v>246</v>
      </c>
      <c r="E32" s="13" t="s">
        <v>201</v>
      </c>
      <c r="F32" s="23" t="s">
        <v>189</v>
      </c>
      <c r="G32" s="24"/>
      <c r="H32" s="13" t="s">
        <v>86</v>
      </c>
    </row>
    <row r="33" spans="1:8" ht="237.75" customHeight="1" x14ac:dyDescent="0.3">
      <c r="A33" s="13" t="str">
        <f t="shared" si="0"/>
        <v>TIME_CreateTimesheet_25</v>
      </c>
      <c r="B33" s="13" t="s">
        <v>87</v>
      </c>
      <c r="C33" s="13" t="s">
        <v>247</v>
      </c>
      <c r="D33" s="13" t="s">
        <v>248</v>
      </c>
      <c r="E33" s="13" t="s">
        <v>201</v>
      </c>
      <c r="F33" s="23" t="s">
        <v>189</v>
      </c>
      <c r="G33" s="24"/>
      <c r="H33" s="13" t="s">
        <v>59</v>
      </c>
    </row>
    <row r="34" spans="1:8" ht="237.75" customHeight="1" x14ac:dyDescent="0.3">
      <c r="A34" s="13" t="str">
        <f t="shared" si="0"/>
        <v>TIME_CreateTimesheet_26</v>
      </c>
      <c r="B34" s="13" t="s">
        <v>88</v>
      </c>
      <c r="C34" s="13" t="s">
        <v>249</v>
      </c>
      <c r="D34" s="13" t="s">
        <v>250</v>
      </c>
      <c r="E34" s="13" t="s">
        <v>201</v>
      </c>
      <c r="F34" s="23" t="s">
        <v>189</v>
      </c>
      <c r="G34" s="24"/>
      <c r="H34" s="13" t="s">
        <v>59</v>
      </c>
    </row>
    <row r="35" spans="1:8" ht="172.5" customHeight="1" x14ac:dyDescent="0.3">
      <c r="A35" s="13" t="str">
        <f t="shared" si="0"/>
        <v>TIME_CreateTimesheet_27</v>
      </c>
      <c r="B35" s="13" t="s">
        <v>90</v>
      </c>
      <c r="C35" s="13" t="s">
        <v>251</v>
      </c>
      <c r="D35" s="13" t="s">
        <v>252</v>
      </c>
      <c r="E35" s="13" t="s">
        <v>201</v>
      </c>
      <c r="F35" s="23" t="s">
        <v>189</v>
      </c>
      <c r="G35" s="24"/>
      <c r="H35" s="13"/>
    </row>
    <row r="36" spans="1:8" ht="186" customHeight="1" x14ac:dyDescent="0.3">
      <c r="A36" s="13" t="str">
        <f t="shared" si="0"/>
        <v>TIME_CreateTimesheet_28</v>
      </c>
      <c r="B36" s="13" t="s">
        <v>92</v>
      </c>
      <c r="C36" s="13" t="s">
        <v>253</v>
      </c>
      <c r="D36" s="13" t="s">
        <v>254</v>
      </c>
      <c r="E36" s="13" t="s">
        <v>201</v>
      </c>
      <c r="F36" s="23" t="s">
        <v>189</v>
      </c>
      <c r="G36" s="24"/>
      <c r="H36" s="13"/>
    </row>
    <row r="37" spans="1:8" ht="186" customHeight="1" x14ac:dyDescent="0.3">
      <c r="A37" s="13" t="str">
        <f t="shared" si="0"/>
        <v>TIME_CreateTimesheet_29</v>
      </c>
      <c r="B37" s="13" t="s">
        <v>93</v>
      </c>
      <c r="C37" s="13" t="s">
        <v>255</v>
      </c>
      <c r="D37" s="13" t="s">
        <v>256</v>
      </c>
      <c r="E37" s="13" t="s">
        <v>201</v>
      </c>
      <c r="F37" s="23" t="s">
        <v>189</v>
      </c>
      <c r="G37" s="24"/>
      <c r="H37" s="13"/>
    </row>
    <row r="38" spans="1:8" ht="159.75" customHeight="1" x14ac:dyDescent="0.3">
      <c r="A38" s="13" t="str">
        <f t="shared" si="0"/>
        <v>TIME_CreateTimesheet_30</v>
      </c>
      <c r="B38" s="13" t="s">
        <v>94</v>
      </c>
      <c r="C38" s="13" t="s">
        <v>257</v>
      </c>
      <c r="D38" s="13" t="s">
        <v>258</v>
      </c>
      <c r="E38" s="13" t="s">
        <v>201</v>
      </c>
      <c r="F38" s="23" t="s">
        <v>189</v>
      </c>
      <c r="G38" s="24"/>
      <c r="H38" s="13"/>
    </row>
    <row r="39" spans="1:8" ht="211.5" customHeight="1" x14ac:dyDescent="0.3">
      <c r="A39" s="13" t="str">
        <f t="shared" si="0"/>
        <v>TIME_CreateTimesheet_31</v>
      </c>
      <c r="B39" s="13" t="s">
        <v>95</v>
      </c>
      <c r="C39" s="13" t="s">
        <v>259</v>
      </c>
      <c r="D39" s="13" t="s">
        <v>244</v>
      </c>
      <c r="E39" s="13" t="s">
        <v>201</v>
      </c>
      <c r="F39" s="23" t="s">
        <v>189</v>
      </c>
      <c r="G39" s="24"/>
      <c r="H39" s="13"/>
    </row>
    <row r="40" spans="1:8" ht="211.5" customHeight="1" x14ac:dyDescent="0.3">
      <c r="A40" s="13" t="str">
        <f t="shared" si="0"/>
        <v>TIME_CreateTimesheet_32</v>
      </c>
      <c r="B40" s="13" t="s">
        <v>96</v>
      </c>
      <c r="C40" s="13" t="s">
        <v>260</v>
      </c>
      <c r="D40" s="13" t="s">
        <v>261</v>
      </c>
      <c r="E40" s="13" t="s">
        <v>201</v>
      </c>
      <c r="F40" s="23" t="s">
        <v>189</v>
      </c>
      <c r="G40" s="24"/>
      <c r="H40" s="13"/>
    </row>
    <row r="41" spans="1:8" ht="211.5" customHeight="1" x14ac:dyDescent="0.3">
      <c r="A41" s="13" t="str">
        <f t="shared" si="0"/>
        <v>TIME_CreateTimesheet_33</v>
      </c>
      <c r="B41" s="13" t="s">
        <v>97</v>
      </c>
      <c r="C41" s="13" t="s">
        <v>262</v>
      </c>
      <c r="D41" s="13" t="s">
        <v>244</v>
      </c>
      <c r="E41" s="13" t="s">
        <v>201</v>
      </c>
      <c r="F41" s="23" t="s">
        <v>189</v>
      </c>
      <c r="G41" s="24"/>
      <c r="H41" s="13"/>
    </row>
    <row r="42" spans="1:8" ht="276.75" customHeight="1" x14ac:dyDescent="0.3">
      <c r="A42" s="13" t="str">
        <f>IF(OR(B42&lt;&gt;"",D42&lt;&gt;""),$B$2&amp;"_"&amp;TEXT(ROW()-8,"00"),"")</f>
        <v>TIME_CreateTimesheet_34</v>
      </c>
      <c r="B42" s="13" t="s">
        <v>98</v>
      </c>
      <c r="C42" s="13" t="s">
        <v>263</v>
      </c>
      <c r="D42" s="13" t="s">
        <v>264</v>
      </c>
      <c r="E42" s="13" t="s">
        <v>201</v>
      </c>
      <c r="F42" s="23" t="s">
        <v>189</v>
      </c>
      <c r="G42" s="24"/>
      <c r="H42" s="13" t="s">
        <v>59</v>
      </c>
    </row>
    <row r="43" spans="1:8" ht="159.75" customHeight="1" x14ac:dyDescent="0.3">
      <c r="A43" s="13" t="str">
        <f t="shared" si="0"/>
        <v>TIME_CreateTimesheet_35</v>
      </c>
      <c r="B43" s="13" t="s">
        <v>99</v>
      </c>
      <c r="C43" s="13" t="s">
        <v>265</v>
      </c>
      <c r="D43" s="13" t="s">
        <v>266</v>
      </c>
      <c r="E43" s="13" t="s">
        <v>201</v>
      </c>
      <c r="F43" s="23" t="s">
        <v>189</v>
      </c>
      <c r="G43" s="24"/>
      <c r="H43" s="13" t="s">
        <v>59</v>
      </c>
    </row>
    <row r="44" spans="1:8" ht="108" customHeight="1" x14ac:dyDescent="0.3">
      <c r="A44" s="13" t="str">
        <f t="shared" si="0"/>
        <v>TIME_CreateTimesheet_36</v>
      </c>
      <c r="B44" s="13" t="s">
        <v>102</v>
      </c>
      <c r="C44" s="13" t="s">
        <v>267</v>
      </c>
      <c r="D44" s="13" t="s">
        <v>268</v>
      </c>
      <c r="E44" s="13" t="s">
        <v>269</v>
      </c>
      <c r="F44" s="23" t="s">
        <v>189</v>
      </c>
      <c r="G44" s="24"/>
      <c r="H44" s="13"/>
    </row>
    <row r="45" spans="1:8" ht="120.75" customHeight="1" x14ac:dyDescent="0.3">
      <c r="A45" s="13" t="str">
        <f t="shared" si="0"/>
        <v>TIME_CreateTimesheet_37</v>
      </c>
      <c r="B45" s="13" t="s">
        <v>103</v>
      </c>
      <c r="C45" s="13" t="s">
        <v>270</v>
      </c>
      <c r="D45" s="13" t="s">
        <v>271</v>
      </c>
      <c r="E45" s="13" t="s">
        <v>269</v>
      </c>
      <c r="F45" s="23" t="s">
        <v>189</v>
      </c>
      <c r="G45" s="24"/>
      <c r="H45" s="13"/>
    </row>
    <row r="46" spans="1:8" ht="211.5" customHeight="1" x14ac:dyDescent="0.3">
      <c r="A46" s="13" t="str">
        <f t="shared" si="0"/>
        <v>TIME_CreateTimesheet_38</v>
      </c>
      <c r="B46" s="13" t="s">
        <v>104</v>
      </c>
      <c r="C46" s="13" t="s">
        <v>272</v>
      </c>
      <c r="D46" s="13" t="s">
        <v>273</v>
      </c>
      <c r="E46" s="13" t="s">
        <v>201</v>
      </c>
      <c r="F46" s="23" t="s">
        <v>189</v>
      </c>
      <c r="G46" s="24"/>
      <c r="H46" s="13"/>
    </row>
    <row r="47" spans="1:8" ht="237.75" customHeight="1" x14ac:dyDescent="0.3">
      <c r="A47" s="13" t="str">
        <f t="shared" si="0"/>
        <v>TIME_CreateTimesheet_39</v>
      </c>
      <c r="B47" s="13" t="s">
        <v>105</v>
      </c>
      <c r="C47" s="13" t="s">
        <v>274</v>
      </c>
      <c r="D47" s="13" t="s">
        <v>275</v>
      </c>
      <c r="E47" s="13" t="s">
        <v>201</v>
      </c>
      <c r="F47" s="23" t="s">
        <v>189</v>
      </c>
      <c r="G47" s="24"/>
      <c r="H47" s="13"/>
    </row>
    <row r="48" spans="1:8" ht="172.5" customHeight="1" x14ac:dyDescent="0.3">
      <c r="A48" s="13" t="str">
        <f t="shared" si="0"/>
        <v>TIME_CreateTimesheet_40</v>
      </c>
      <c r="B48" s="13" t="s">
        <v>107</v>
      </c>
      <c r="C48" s="13" t="s">
        <v>276</v>
      </c>
      <c r="D48" s="13" t="s">
        <v>277</v>
      </c>
      <c r="E48" s="13" t="s">
        <v>201</v>
      </c>
      <c r="F48" s="23" t="s">
        <v>189</v>
      </c>
      <c r="G48" s="24"/>
      <c r="H48" s="13"/>
    </row>
    <row r="49" spans="1:8" ht="237.75" customHeight="1" x14ac:dyDescent="0.3">
      <c r="A49" s="13" t="str">
        <f t="shared" si="0"/>
        <v>TIME_CreateTimesheet_41</v>
      </c>
      <c r="B49" s="13" t="s">
        <v>108</v>
      </c>
      <c r="C49" s="13" t="s">
        <v>278</v>
      </c>
      <c r="D49" s="13" t="s">
        <v>279</v>
      </c>
      <c r="E49" s="13" t="s">
        <v>201</v>
      </c>
      <c r="F49" s="23" t="s">
        <v>189</v>
      </c>
      <c r="G49" s="24"/>
      <c r="H49" s="13"/>
    </row>
    <row r="50" spans="1:8" ht="94.5" customHeight="1" x14ac:dyDescent="0.3">
      <c r="A50" s="13" t="str">
        <f t="shared" si="0"/>
        <v>TIME_CreateTimesheet_42</v>
      </c>
      <c r="B50" s="13" t="s">
        <v>109</v>
      </c>
      <c r="C50" s="13" t="s">
        <v>280</v>
      </c>
      <c r="D50" s="13" t="s">
        <v>281</v>
      </c>
      <c r="E50" s="13"/>
      <c r="F50" s="23" t="s">
        <v>189</v>
      </c>
      <c r="G50" s="24"/>
      <c r="H50" s="13"/>
    </row>
  </sheetData>
  <mergeCells count="5">
    <mergeCell ref="B2:H2"/>
    <mergeCell ref="B3:H3"/>
    <mergeCell ref="B4:H4"/>
    <mergeCell ref="F5:H5"/>
    <mergeCell ref="F6:H6"/>
  </mergeCells>
  <conditionalFormatting sqref="F9:F90">
    <cfRule type="cellIs" dxfId="11" priority="2" operator="equal">
      <formula>"Passed"</formula>
    </cfRule>
    <cfRule type="cellIs" dxfId="10" priority="3" operator="equal">
      <formula>"Failed"</formula>
    </cfRule>
    <cfRule type="cellIs" dxfId="9" priority="4" operator="equal">
      <formula>"Blocked"</formula>
    </cfRule>
    <cfRule type="cellIs" dxfId="8" priority="5" operator="equal">
      <formula>"Skipped"</formula>
    </cfRule>
  </conditionalFormatting>
  <dataValidations count="1">
    <dataValidation type="list" allowBlank="1" sqref="F9:F90">
      <formula1>$J$2:$J$6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7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x14ac:dyDescent="0.3"/>
  <cols>
    <col min="1" max="1" width="27" customWidth="1"/>
    <col min="2" max="2" width="36" customWidth="1"/>
    <col min="3" max="3" width="62" customWidth="1"/>
    <col min="4" max="4" width="54" customWidth="1"/>
    <col min="5" max="5" width="28" customWidth="1"/>
    <col min="6" max="6" width="11" customWidth="1"/>
    <col min="7" max="7" width="12" customWidth="1"/>
    <col min="8" max="8" width="32" customWidth="1"/>
    <col min="9" max="9" width="3" customWidth="1"/>
    <col min="10" max="10" width="10" customWidth="1"/>
  </cols>
  <sheetData>
    <row r="2" spans="1:10" ht="15" customHeight="1" x14ac:dyDescent="0.3">
      <c r="A2" s="19" t="s">
        <v>182</v>
      </c>
      <c r="B2" s="32" t="s">
        <v>282</v>
      </c>
      <c r="C2" s="32"/>
      <c r="D2" s="32"/>
      <c r="E2" s="32"/>
      <c r="F2" s="32"/>
      <c r="G2" s="32"/>
      <c r="H2" s="32"/>
      <c r="J2" s="20" t="s">
        <v>184</v>
      </c>
    </row>
    <row r="3" spans="1:10" ht="15" customHeight="1" x14ac:dyDescent="0.3">
      <c r="A3" s="19" t="s">
        <v>185</v>
      </c>
      <c r="B3" s="32" t="s">
        <v>33</v>
      </c>
      <c r="C3" s="32"/>
      <c r="D3" s="32"/>
      <c r="E3" s="32"/>
      <c r="F3" s="32"/>
      <c r="G3" s="32"/>
      <c r="H3" s="32"/>
      <c r="J3" s="20" t="s">
        <v>186</v>
      </c>
    </row>
    <row r="4" spans="1:10" x14ac:dyDescent="0.3">
      <c r="A4" s="19" t="s">
        <v>187</v>
      </c>
      <c r="B4" s="32" t="str">
        <f>Cover!G4</f>
        <v>Nguyễn Thị Hồng Châu</v>
      </c>
      <c r="C4" s="32"/>
      <c r="D4" s="32"/>
      <c r="E4" s="32"/>
      <c r="F4" s="32"/>
      <c r="G4" s="32"/>
      <c r="H4" s="32"/>
      <c r="J4" s="20" t="s">
        <v>188</v>
      </c>
    </row>
    <row r="5" spans="1:10" x14ac:dyDescent="0.3">
      <c r="A5" s="21" t="s">
        <v>184</v>
      </c>
      <c r="B5" s="21" t="s">
        <v>186</v>
      </c>
      <c r="C5" s="21" t="s">
        <v>189</v>
      </c>
      <c r="D5" s="21" t="s">
        <v>188</v>
      </c>
      <c r="E5" s="21" t="s">
        <v>190</v>
      </c>
      <c r="F5" s="35" t="s">
        <v>191</v>
      </c>
      <c r="G5" s="35"/>
      <c r="H5" s="35"/>
      <c r="J5" s="20" t="s">
        <v>189</v>
      </c>
    </row>
    <row r="6" spans="1:10" x14ac:dyDescent="0.3">
      <c r="A6" s="22">
        <f>COUNTIF(F9:F77,"Passed")</f>
        <v>0</v>
      </c>
      <c r="B6" s="22">
        <f>COUNTIF(F9:F77,"Failed")</f>
        <v>0</v>
      </c>
      <c r="C6" s="22">
        <f>F6-E6-D6-B6-A6</f>
        <v>29</v>
      </c>
      <c r="D6" s="22">
        <f>COUNTIF(F9:F77,"Blocked")</f>
        <v>0</v>
      </c>
      <c r="E6" s="22">
        <f>COUNTIF(F9:F77,"Skipped")</f>
        <v>0</v>
      </c>
      <c r="F6" s="36">
        <f>COUNTA(A9:A77)</f>
        <v>29</v>
      </c>
      <c r="G6" s="36"/>
      <c r="H6" s="36"/>
      <c r="J6" s="20" t="s">
        <v>190</v>
      </c>
    </row>
    <row r="8" spans="1:10" ht="25.5" customHeight="1" x14ac:dyDescent="0.3">
      <c r="A8" s="5" t="s">
        <v>192</v>
      </c>
      <c r="B8" s="5" t="s">
        <v>193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198</v>
      </c>
      <c r="H8" s="5" t="s">
        <v>51</v>
      </c>
    </row>
    <row r="9" spans="1:10" ht="108" customHeight="1" x14ac:dyDescent="0.3">
      <c r="A9" s="13" t="str">
        <f t="shared" ref="A9:A37" si="0">IF(OR(B9&lt;&gt;"",D9&lt;&gt;""),$B$2&amp;"_"&amp;TEXT(ROW()-8,"00"),"")</f>
        <v>TIME_SearchTimesheet_01</v>
      </c>
      <c r="B9" s="13" t="s">
        <v>111</v>
      </c>
      <c r="C9" s="13" t="s">
        <v>283</v>
      </c>
      <c r="D9" s="13" t="s">
        <v>284</v>
      </c>
      <c r="E9" s="13" t="s">
        <v>201</v>
      </c>
      <c r="F9" s="23" t="s">
        <v>189</v>
      </c>
      <c r="G9" s="24"/>
      <c r="H9" s="13"/>
    </row>
    <row r="10" spans="1:10" ht="108" customHeight="1" x14ac:dyDescent="0.3">
      <c r="A10" s="13" t="str">
        <f t="shared" si="0"/>
        <v>TIME_SearchTimesheet_02</v>
      </c>
      <c r="B10" s="13" t="s">
        <v>112</v>
      </c>
      <c r="C10" s="13" t="s">
        <v>283</v>
      </c>
      <c r="D10" s="13" t="s">
        <v>285</v>
      </c>
      <c r="E10" s="13" t="s">
        <v>201</v>
      </c>
      <c r="F10" s="23" t="s">
        <v>189</v>
      </c>
      <c r="G10" s="24"/>
      <c r="H10" s="13" t="s">
        <v>59</v>
      </c>
    </row>
    <row r="11" spans="1:10" ht="120.75" customHeight="1" x14ac:dyDescent="0.3">
      <c r="A11" s="13" t="str">
        <f t="shared" si="0"/>
        <v>TIME_SearchTimesheet_03</v>
      </c>
      <c r="B11" s="13" t="s">
        <v>113</v>
      </c>
      <c r="C11" s="13" t="s">
        <v>286</v>
      </c>
      <c r="D11" s="13" t="s">
        <v>287</v>
      </c>
      <c r="E11" s="13" t="s">
        <v>288</v>
      </c>
      <c r="F11" s="23" t="s">
        <v>189</v>
      </c>
      <c r="G11" s="24"/>
      <c r="H11" s="13"/>
    </row>
    <row r="12" spans="1:10" ht="120.75" customHeight="1" x14ac:dyDescent="0.3">
      <c r="A12" s="13" t="str">
        <f t="shared" si="0"/>
        <v>TIME_SearchTimesheet_04</v>
      </c>
      <c r="B12" s="13" t="s">
        <v>114</v>
      </c>
      <c r="C12" s="13" t="s">
        <v>286</v>
      </c>
      <c r="D12" s="13" t="s">
        <v>289</v>
      </c>
      <c r="E12" s="13" t="s">
        <v>288</v>
      </c>
      <c r="F12" s="23" t="s">
        <v>189</v>
      </c>
      <c r="G12" s="24"/>
      <c r="H12" s="13" t="s">
        <v>59</v>
      </c>
    </row>
    <row r="13" spans="1:10" ht="120.75" customHeight="1" x14ac:dyDescent="0.3">
      <c r="A13" s="13" t="str">
        <f t="shared" si="0"/>
        <v>TIME_SearchTimesheet_05</v>
      </c>
      <c r="B13" s="13" t="s">
        <v>115</v>
      </c>
      <c r="C13" s="13" t="s">
        <v>286</v>
      </c>
      <c r="D13" s="13" t="s">
        <v>290</v>
      </c>
      <c r="E13" s="13" t="s">
        <v>288</v>
      </c>
      <c r="F13" s="23" t="s">
        <v>189</v>
      </c>
      <c r="G13" s="24"/>
      <c r="H13" s="13"/>
    </row>
    <row r="14" spans="1:10" ht="159.75" customHeight="1" x14ac:dyDescent="0.3">
      <c r="A14" s="13" t="str">
        <f t="shared" si="0"/>
        <v>TIME_SearchTimesheet_06</v>
      </c>
      <c r="B14" s="13" t="s">
        <v>117</v>
      </c>
      <c r="C14" s="13" t="s">
        <v>291</v>
      </c>
      <c r="D14" s="13" t="s">
        <v>292</v>
      </c>
      <c r="E14" s="13" t="s">
        <v>288</v>
      </c>
      <c r="F14" s="23" t="s">
        <v>189</v>
      </c>
      <c r="G14" s="24"/>
      <c r="H14" s="13"/>
    </row>
    <row r="15" spans="1:10" ht="133.5" customHeight="1" x14ac:dyDescent="0.3">
      <c r="A15" s="13" t="str">
        <f t="shared" si="0"/>
        <v>TIME_SearchTimesheet_07</v>
      </c>
      <c r="B15" s="13" t="s">
        <v>118</v>
      </c>
      <c r="C15" s="13" t="s">
        <v>293</v>
      </c>
      <c r="D15" s="13" t="s">
        <v>294</v>
      </c>
      <c r="E15" s="13" t="s">
        <v>288</v>
      </c>
      <c r="F15" s="23" t="s">
        <v>189</v>
      </c>
      <c r="G15" s="24"/>
      <c r="H15" s="13"/>
    </row>
    <row r="16" spans="1:10" ht="147" customHeight="1" x14ac:dyDescent="0.3">
      <c r="A16" s="13" t="str">
        <f t="shared" si="0"/>
        <v>TIME_SearchTimesheet_08</v>
      </c>
      <c r="B16" s="13" t="s">
        <v>119</v>
      </c>
      <c r="C16" s="13" t="s">
        <v>295</v>
      </c>
      <c r="D16" s="13" t="s">
        <v>296</v>
      </c>
      <c r="E16" s="13" t="s">
        <v>288</v>
      </c>
      <c r="F16" s="23" t="s">
        <v>189</v>
      </c>
      <c r="G16" s="24"/>
      <c r="H16" s="13"/>
    </row>
    <row r="17" spans="1:8" ht="147" customHeight="1" x14ac:dyDescent="0.3">
      <c r="A17" s="13" t="str">
        <f t="shared" si="0"/>
        <v>TIME_SearchTimesheet_09</v>
      </c>
      <c r="B17" s="13" t="s">
        <v>120</v>
      </c>
      <c r="C17" s="13" t="s">
        <v>297</v>
      </c>
      <c r="D17" s="13" t="s">
        <v>298</v>
      </c>
      <c r="E17" s="13" t="s">
        <v>288</v>
      </c>
      <c r="F17" s="23" t="s">
        <v>189</v>
      </c>
      <c r="G17" s="24"/>
      <c r="H17" s="13" t="s">
        <v>59</v>
      </c>
    </row>
    <row r="18" spans="1:8" ht="147" customHeight="1" x14ac:dyDescent="0.3">
      <c r="A18" s="13" t="str">
        <f t="shared" si="0"/>
        <v>TIME_SearchTimesheet_10</v>
      </c>
      <c r="B18" s="13" t="s">
        <v>121</v>
      </c>
      <c r="C18" s="13" t="s">
        <v>299</v>
      </c>
      <c r="D18" s="13" t="s">
        <v>300</v>
      </c>
      <c r="E18" s="13" t="s">
        <v>288</v>
      </c>
      <c r="F18" s="23" t="s">
        <v>189</v>
      </c>
      <c r="G18" s="24"/>
      <c r="H18" s="13"/>
    </row>
    <row r="19" spans="1:8" ht="159.75" customHeight="1" x14ac:dyDescent="0.3">
      <c r="A19" s="13" t="str">
        <f t="shared" si="0"/>
        <v>TIME_SearchTimesheet_11</v>
      </c>
      <c r="B19" s="13" t="s">
        <v>122</v>
      </c>
      <c r="C19" s="13" t="s">
        <v>301</v>
      </c>
      <c r="D19" s="13" t="s">
        <v>302</v>
      </c>
      <c r="E19" s="13" t="s">
        <v>303</v>
      </c>
      <c r="F19" s="23" t="s">
        <v>189</v>
      </c>
      <c r="G19" s="24"/>
      <c r="H19" s="13"/>
    </row>
    <row r="20" spans="1:8" ht="133.5" customHeight="1" x14ac:dyDescent="0.3">
      <c r="A20" s="13" t="str">
        <f t="shared" si="0"/>
        <v>TIME_SearchTimesheet_12</v>
      </c>
      <c r="B20" s="13" t="s">
        <v>123</v>
      </c>
      <c r="C20" s="13" t="s">
        <v>304</v>
      </c>
      <c r="D20" s="13" t="s">
        <v>305</v>
      </c>
      <c r="E20" s="13" t="s">
        <v>303</v>
      </c>
      <c r="F20" s="23" t="s">
        <v>189</v>
      </c>
      <c r="G20" s="24"/>
      <c r="H20" s="13"/>
    </row>
    <row r="21" spans="1:8" ht="108" customHeight="1" x14ac:dyDescent="0.3">
      <c r="A21" s="13" t="str">
        <f t="shared" si="0"/>
        <v>TIME_SearchTimesheet_13</v>
      </c>
      <c r="B21" s="13" t="s">
        <v>124</v>
      </c>
      <c r="C21" s="13" t="s">
        <v>283</v>
      </c>
      <c r="D21" s="13" t="s">
        <v>306</v>
      </c>
      <c r="E21" s="13" t="s">
        <v>201</v>
      </c>
      <c r="F21" s="23" t="s">
        <v>189</v>
      </c>
      <c r="G21" s="24"/>
      <c r="H21" s="13"/>
    </row>
    <row r="22" spans="1:8" ht="120.75" customHeight="1" x14ac:dyDescent="0.3">
      <c r="A22" s="13" t="str">
        <f t="shared" si="0"/>
        <v>TIME_SearchTimesheet_14</v>
      </c>
      <c r="B22" s="13" t="s">
        <v>126</v>
      </c>
      <c r="C22" s="13" t="s">
        <v>307</v>
      </c>
      <c r="D22" s="13" t="s">
        <v>308</v>
      </c>
      <c r="E22" s="13" t="s">
        <v>201</v>
      </c>
      <c r="F22" s="23" t="s">
        <v>189</v>
      </c>
      <c r="G22" s="24"/>
      <c r="H22" s="13"/>
    </row>
    <row r="23" spans="1:8" ht="120.75" customHeight="1" x14ac:dyDescent="0.3">
      <c r="A23" s="13" t="str">
        <f t="shared" si="0"/>
        <v>TIME_SearchTimesheet_15</v>
      </c>
      <c r="B23" s="13" t="s">
        <v>127</v>
      </c>
      <c r="C23" s="13" t="s">
        <v>309</v>
      </c>
      <c r="D23" s="13" t="s">
        <v>310</v>
      </c>
      <c r="E23" s="13" t="s">
        <v>201</v>
      </c>
      <c r="F23" s="23" t="s">
        <v>189</v>
      </c>
      <c r="G23" s="24"/>
      <c r="H23" s="13" t="s">
        <v>59</v>
      </c>
    </row>
    <row r="24" spans="1:8" ht="108" customHeight="1" x14ac:dyDescent="0.3">
      <c r="A24" s="13" t="str">
        <f t="shared" si="0"/>
        <v>TIME_SearchTimesheet_16</v>
      </c>
      <c r="B24" s="13" t="s">
        <v>128</v>
      </c>
      <c r="C24" s="13" t="s">
        <v>311</v>
      </c>
      <c r="D24" s="13" t="s">
        <v>312</v>
      </c>
      <c r="E24" s="13" t="s">
        <v>201</v>
      </c>
      <c r="F24" s="23" t="s">
        <v>189</v>
      </c>
      <c r="G24" s="24"/>
      <c r="H24" s="13"/>
    </row>
    <row r="25" spans="1:8" ht="94.5" customHeight="1" x14ac:dyDescent="0.3">
      <c r="A25" s="13" t="str">
        <f t="shared" si="0"/>
        <v>TIME_SearchTimesheet_17</v>
      </c>
      <c r="B25" s="13" t="s">
        <v>129</v>
      </c>
      <c r="C25" s="13" t="s">
        <v>313</v>
      </c>
      <c r="D25" s="13" t="s">
        <v>314</v>
      </c>
      <c r="E25" s="13" t="s">
        <v>201</v>
      </c>
      <c r="F25" s="23" t="s">
        <v>189</v>
      </c>
      <c r="G25" s="24"/>
      <c r="H25" s="13" t="s">
        <v>59</v>
      </c>
    </row>
    <row r="26" spans="1:8" ht="133.5" customHeight="1" x14ac:dyDescent="0.3">
      <c r="A26" s="13" t="str">
        <f t="shared" si="0"/>
        <v>TIME_SearchTimesheet_18</v>
      </c>
      <c r="B26" s="13" t="s">
        <v>130</v>
      </c>
      <c r="C26" s="13" t="s">
        <v>315</v>
      </c>
      <c r="D26" s="13" t="s">
        <v>316</v>
      </c>
      <c r="E26" s="13" t="s">
        <v>288</v>
      </c>
      <c r="F26" s="23" t="s">
        <v>189</v>
      </c>
      <c r="G26" s="24"/>
      <c r="H26" s="13"/>
    </row>
    <row r="27" spans="1:8" ht="147" customHeight="1" x14ac:dyDescent="0.3">
      <c r="A27" s="13" t="str">
        <f t="shared" si="0"/>
        <v>TIME_SearchTimesheet_19</v>
      </c>
      <c r="B27" s="13" t="s">
        <v>131</v>
      </c>
      <c r="C27" s="13" t="s">
        <v>317</v>
      </c>
      <c r="D27" s="13" t="s">
        <v>318</v>
      </c>
      <c r="E27" s="13" t="s">
        <v>288</v>
      </c>
      <c r="F27" s="23" t="s">
        <v>189</v>
      </c>
      <c r="G27" s="24"/>
      <c r="H27" s="13" t="s">
        <v>59</v>
      </c>
    </row>
    <row r="28" spans="1:8" ht="147" customHeight="1" x14ac:dyDescent="0.3">
      <c r="A28" s="13" t="str">
        <f t="shared" si="0"/>
        <v>TIME_SearchTimesheet_20</v>
      </c>
      <c r="B28" s="13" t="s">
        <v>132</v>
      </c>
      <c r="C28" s="13" t="s">
        <v>319</v>
      </c>
      <c r="D28" s="13" t="s">
        <v>320</v>
      </c>
      <c r="E28" s="13" t="s">
        <v>288</v>
      </c>
      <c r="F28" s="23" t="s">
        <v>189</v>
      </c>
      <c r="G28" s="24"/>
      <c r="H28" s="13"/>
    </row>
    <row r="29" spans="1:8" ht="147" customHeight="1" x14ac:dyDescent="0.3">
      <c r="A29" s="13" t="str">
        <f t="shared" si="0"/>
        <v>TIME_SearchTimesheet_21</v>
      </c>
      <c r="B29" s="13" t="s">
        <v>133</v>
      </c>
      <c r="C29" s="13" t="s">
        <v>321</v>
      </c>
      <c r="D29" s="13" t="s">
        <v>322</v>
      </c>
      <c r="E29" s="13" t="s">
        <v>288</v>
      </c>
      <c r="F29" s="23" t="s">
        <v>189</v>
      </c>
      <c r="G29" s="24"/>
      <c r="H29" s="13"/>
    </row>
    <row r="30" spans="1:8" ht="147" customHeight="1" x14ac:dyDescent="0.3">
      <c r="A30" s="13" t="str">
        <f t="shared" si="0"/>
        <v>TIME_SearchTimesheet_22</v>
      </c>
      <c r="B30" s="13" t="s">
        <v>134</v>
      </c>
      <c r="C30" s="13" t="s">
        <v>323</v>
      </c>
      <c r="D30" s="13" t="s">
        <v>324</v>
      </c>
      <c r="E30" s="13" t="s">
        <v>288</v>
      </c>
      <c r="F30" s="23" t="s">
        <v>189</v>
      </c>
      <c r="G30" s="24"/>
      <c r="H30" s="13"/>
    </row>
    <row r="31" spans="1:8" ht="147" customHeight="1" x14ac:dyDescent="0.3">
      <c r="A31" s="13" t="str">
        <f t="shared" si="0"/>
        <v>TIME_SearchTimesheet_23</v>
      </c>
      <c r="B31" s="13" t="s">
        <v>135</v>
      </c>
      <c r="C31" s="13" t="s">
        <v>325</v>
      </c>
      <c r="D31" s="13" t="s">
        <v>326</v>
      </c>
      <c r="E31" s="13" t="s">
        <v>288</v>
      </c>
      <c r="F31" s="23" t="s">
        <v>189</v>
      </c>
      <c r="G31" s="24"/>
      <c r="H31" s="13"/>
    </row>
    <row r="32" spans="1:8" ht="147" customHeight="1" x14ac:dyDescent="0.3">
      <c r="A32" s="13" t="str">
        <f t="shared" si="0"/>
        <v>TIME_SearchTimesheet_24</v>
      </c>
      <c r="B32" s="13" t="s">
        <v>136</v>
      </c>
      <c r="C32" s="13" t="s">
        <v>327</v>
      </c>
      <c r="D32" s="13" t="s">
        <v>328</v>
      </c>
      <c r="E32" s="13" t="s">
        <v>288</v>
      </c>
      <c r="F32" s="23" t="s">
        <v>189</v>
      </c>
      <c r="G32" s="24"/>
      <c r="H32" s="13" t="s">
        <v>59</v>
      </c>
    </row>
    <row r="33" spans="1:8" ht="147" customHeight="1" x14ac:dyDescent="0.3">
      <c r="A33" s="13" t="str">
        <f t="shared" si="0"/>
        <v>TIME_SearchTimesheet_25</v>
      </c>
      <c r="B33" s="13" t="s">
        <v>138</v>
      </c>
      <c r="C33" s="13" t="s">
        <v>329</v>
      </c>
      <c r="D33" s="13" t="s">
        <v>330</v>
      </c>
      <c r="E33" s="13" t="s">
        <v>288</v>
      </c>
      <c r="F33" s="23" t="s">
        <v>189</v>
      </c>
      <c r="G33" s="24"/>
      <c r="H33" s="13"/>
    </row>
    <row r="34" spans="1:8" ht="147" customHeight="1" x14ac:dyDescent="0.3">
      <c r="A34" s="13" t="str">
        <f t="shared" si="0"/>
        <v>TIME_SearchTimesheet_26</v>
      </c>
      <c r="B34" s="13" t="s">
        <v>139</v>
      </c>
      <c r="C34" s="13" t="s">
        <v>331</v>
      </c>
      <c r="D34" s="13" t="s">
        <v>332</v>
      </c>
      <c r="E34" s="13" t="s">
        <v>288</v>
      </c>
      <c r="F34" s="23" t="s">
        <v>189</v>
      </c>
      <c r="G34" s="24"/>
      <c r="H34" s="13"/>
    </row>
    <row r="35" spans="1:8" ht="120.75" customHeight="1" x14ac:dyDescent="0.3">
      <c r="A35" s="13" t="str">
        <f t="shared" si="0"/>
        <v>TIME_SearchTimesheet_27</v>
      </c>
      <c r="B35" s="13" t="s">
        <v>140</v>
      </c>
      <c r="C35" s="13" t="s">
        <v>333</v>
      </c>
      <c r="D35" s="13" t="s">
        <v>334</v>
      </c>
      <c r="E35" s="13" t="s">
        <v>201</v>
      </c>
      <c r="F35" s="23" t="s">
        <v>189</v>
      </c>
      <c r="G35" s="24"/>
      <c r="H35" s="13" t="s">
        <v>59</v>
      </c>
    </row>
    <row r="36" spans="1:8" ht="133.5" customHeight="1" x14ac:dyDescent="0.3">
      <c r="A36" s="13" t="str">
        <f t="shared" si="0"/>
        <v>TIME_SearchTimesheet_28</v>
      </c>
      <c r="B36" s="13" t="s">
        <v>141</v>
      </c>
      <c r="C36" s="13" t="s">
        <v>335</v>
      </c>
      <c r="D36" s="13" t="s">
        <v>336</v>
      </c>
      <c r="E36" s="13" t="s">
        <v>201</v>
      </c>
      <c r="F36" s="23" t="s">
        <v>189</v>
      </c>
      <c r="G36" s="24"/>
      <c r="H36" s="13" t="s">
        <v>59</v>
      </c>
    </row>
    <row r="37" spans="1:8" ht="81.75" customHeight="1" x14ac:dyDescent="0.3">
      <c r="A37" s="13" t="str">
        <f t="shared" si="0"/>
        <v>TIME_SearchTimesheet_29</v>
      </c>
      <c r="B37" s="13" t="s">
        <v>142</v>
      </c>
      <c r="C37" s="13" t="s">
        <v>337</v>
      </c>
      <c r="D37" s="13" t="s">
        <v>338</v>
      </c>
      <c r="E37" s="13"/>
      <c r="F37" s="23" t="s">
        <v>189</v>
      </c>
      <c r="G37" s="24"/>
      <c r="H37" s="13"/>
    </row>
  </sheetData>
  <mergeCells count="5">
    <mergeCell ref="B2:H2"/>
    <mergeCell ref="B3:H3"/>
    <mergeCell ref="B4:H4"/>
    <mergeCell ref="F5:H5"/>
    <mergeCell ref="F6:H6"/>
  </mergeCells>
  <conditionalFormatting sqref="F9:F77">
    <cfRule type="cellIs" dxfId="7" priority="2" operator="equal">
      <formula>"Passed"</formula>
    </cfRule>
    <cfRule type="cellIs" dxfId="6" priority="3" operator="equal">
      <formula>"Failed"</formula>
    </cfRule>
    <cfRule type="cellIs" dxfId="5" priority="4" operator="equal">
      <formula>"Blocked"</formula>
    </cfRule>
    <cfRule type="cellIs" dxfId="4" priority="5" operator="equal">
      <formula>"Skipped"</formula>
    </cfRule>
  </conditionalFormatting>
  <dataValidations count="1">
    <dataValidation type="list" allowBlank="1" sqref="F9:F77">
      <formula1>$J$2:$J$6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4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x14ac:dyDescent="0.3"/>
  <cols>
    <col min="1" max="1" width="27" customWidth="1"/>
    <col min="2" max="2" width="36" customWidth="1"/>
    <col min="3" max="3" width="62" customWidth="1"/>
    <col min="4" max="4" width="54" customWidth="1"/>
    <col min="5" max="5" width="28" customWidth="1"/>
    <col min="6" max="6" width="11" customWidth="1"/>
    <col min="7" max="7" width="12" customWidth="1"/>
    <col min="8" max="8" width="32" customWidth="1"/>
    <col min="9" max="9" width="3" customWidth="1"/>
    <col min="10" max="10" width="10" customWidth="1"/>
  </cols>
  <sheetData>
    <row r="2" spans="1:10" ht="15" customHeight="1" x14ac:dyDescent="0.3">
      <c r="A2" s="19" t="s">
        <v>182</v>
      </c>
      <c r="B2" s="32" t="s">
        <v>339</v>
      </c>
      <c r="C2" s="32"/>
      <c r="D2" s="32"/>
      <c r="E2" s="32"/>
      <c r="F2" s="32"/>
      <c r="G2" s="32"/>
      <c r="H2" s="32"/>
      <c r="J2" s="20" t="s">
        <v>184</v>
      </c>
    </row>
    <row r="3" spans="1:10" ht="15" customHeight="1" x14ac:dyDescent="0.3">
      <c r="A3" s="19" t="s">
        <v>185</v>
      </c>
      <c r="B3" s="32" t="s">
        <v>37</v>
      </c>
      <c r="C3" s="32"/>
      <c r="D3" s="32"/>
      <c r="E3" s="32"/>
      <c r="F3" s="32"/>
      <c r="G3" s="32"/>
      <c r="H3" s="32"/>
      <c r="J3" s="20" t="s">
        <v>186</v>
      </c>
    </row>
    <row r="4" spans="1:10" x14ac:dyDescent="0.3">
      <c r="A4" s="19" t="s">
        <v>187</v>
      </c>
      <c r="B4" s="32" t="str">
        <f>Cover!G4</f>
        <v>Nguyễn Thị Hồng Châu</v>
      </c>
      <c r="C4" s="32"/>
      <c r="D4" s="32"/>
      <c r="E4" s="32"/>
      <c r="F4" s="32"/>
      <c r="G4" s="32"/>
      <c r="H4" s="32"/>
      <c r="J4" s="20" t="s">
        <v>188</v>
      </c>
    </row>
    <row r="5" spans="1:10" x14ac:dyDescent="0.3">
      <c r="A5" s="21" t="s">
        <v>184</v>
      </c>
      <c r="B5" s="21" t="s">
        <v>186</v>
      </c>
      <c r="C5" s="21" t="s">
        <v>189</v>
      </c>
      <c r="D5" s="21" t="s">
        <v>188</v>
      </c>
      <c r="E5" s="21" t="s">
        <v>190</v>
      </c>
      <c r="F5" s="35" t="s">
        <v>191</v>
      </c>
      <c r="G5" s="35"/>
      <c r="H5" s="35"/>
      <c r="J5" s="20" t="s">
        <v>189</v>
      </c>
    </row>
    <row r="6" spans="1:10" x14ac:dyDescent="0.3">
      <c r="A6" s="22">
        <f>COUNTIF(F9:F84,"Passed")</f>
        <v>0</v>
      </c>
      <c r="B6" s="22">
        <f>COUNTIF(F9:F84,"Failed")</f>
        <v>0</v>
      </c>
      <c r="C6" s="22">
        <f>F6-E6-D6-B6-A6</f>
        <v>36</v>
      </c>
      <c r="D6" s="22">
        <f>COUNTIF(F9:F84,"Blocked")</f>
        <v>0</v>
      </c>
      <c r="E6" s="22">
        <f>COUNTIF(F9:F84,"Skipped")</f>
        <v>0</v>
      </c>
      <c r="F6" s="36">
        <f>COUNTA(A9:A84)</f>
        <v>36</v>
      </c>
      <c r="G6" s="36"/>
      <c r="H6" s="36"/>
      <c r="J6" s="20" t="s">
        <v>190</v>
      </c>
    </row>
    <row r="8" spans="1:10" ht="25.5" customHeight="1" x14ac:dyDescent="0.3">
      <c r="A8" s="5" t="s">
        <v>192</v>
      </c>
      <c r="B8" s="5" t="s">
        <v>193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198</v>
      </c>
      <c r="H8" s="5" t="s">
        <v>51</v>
      </c>
    </row>
    <row r="9" spans="1:10" ht="133.5" customHeight="1" x14ac:dyDescent="0.3">
      <c r="A9" s="13" t="str">
        <f t="shared" ref="A9:A44" si="0">IF(OR(B9&lt;&gt;"",D9&lt;&gt;""),$B$2&amp;"_"&amp;TEXT(ROW()-8,"00"),"")</f>
        <v>TIME_SubmitProcess_01</v>
      </c>
      <c r="B9" s="13" t="s">
        <v>144</v>
      </c>
      <c r="C9" s="13" t="s">
        <v>340</v>
      </c>
      <c r="D9" s="13" t="s">
        <v>341</v>
      </c>
      <c r="E9" s="13" t="s">
        <v>201</v>
      </c>
      <c r="F9" s="23" t="s">
        <v>189</v>
      </c>
      <c r="G9" s="24"/>
      <c r="H9" s="13"/>
    </row>
    <row r="10" spans="1:10" ht="108" customHeight="1" x14ac:dyDescent="0.3">
      <c r="A10" s="13" t="str">
        <f t="shared" si="0"/>
        <v>TIME_SubmitProcess_02</v>
      </c>
      <c r="B10" s="13" t="s">
        <v>145</v>
      </c>
      <c r="C10" s="13" t="s">
        <v>283</v>
      </c>
      <c r="D10" s="13" t="s">
        <v>342</v>
      </c>
      <c r="E10" s="13" t="s">
        <v>343</v>
      </c>
      <c r="F10" s="23" t="s">
        <v>189</v>
      </c>
      <c r="G10" s="24"/>
      <c r="H10" s="13"/>
    </row>
    <row r="11" spans="1:10" ht="120.75" customHeight="1" x14ac:dyDescent="0.3">
      <c r="A11" s="13" t="str">
        <f t="shared" si="0"/>
        <v>TIME_SubmitProcess_03</v>
      </c>
      <c r="B11" s="13" t="s">
        <v>146</v>
      </c>
      <c r="C11" s="13" t="s">
        <v>344</v>
      </c>
      <c r="D11" s="13" t="s">
        <v>345</v>
      </c>
      <c r="E11" s="13" t="s">
        <v>343</v>
      </c>
      <c r="F11" s="23" t="s">
        <v>189</v>
      </c>
      <c r="G11" s="24"/>
      <c r="H11" s="13" t="s">
        <v>59</v>
      </c>
    </row>
    <row r="12" spans="1:10" ht="147" customHeight="1" x14ac:dyDescent="0.3">
      <c r="A12" s="13" t="str">
        <f t="shared" si="0"/>
        <v>TIME_SubmitProcess_04</v>
      </c>
      <c r="B12" s="13" t="s">
        <v>147</v>
      </c>
      <c r="C12" s="13" t="s">
        <v>346</v>
      </c>
      <c r="D12" s="13" t="s">
        <v>347</v>
      </c>
      <c r="E12" s="13" t="s">
        <v>201</v>
      </c>
      <c r="F12" s="23" t="s">
        <v>189</v>
      </c>
      <c r="G12" s="24"/>
      <c r="H12" s="13"/>
    </row>
    <row r="13" spans="1:10" ht="120.75" customHeight="1" x14ac:dyDescent="0.3">
      <c r="A13" s="13" t="str">
        <f t="shared" si="0"/>
        <v>TIME_SubmitProcess_05</v>
      </c>
      <c r="B13" s="13" t="s">
        <v>148</v>
      </c>
      <c r="C13" s="13" t="s">
        <v>348</v>
      </c>
      <c r="D13" s="13" t="s">
        <v>349</v>
      </c>
      <c r="E13" s="13" t="s">
        <v>201</v>
      </c>
      <c r="F13" s="23" t="s">
        <v>189</v>
      </c>
      <c r="G13" s="24"/>
      <c r="H13" s="13" t="s">
        <v>59</v>
      </c>
    </row>
    <row r="14" spans="1:10" ht="120.75" customHeight="1" x14ac:dyDescent="0.3">
      <c r="A14" s="13" t="str">
        <f t="shared" si="0"/>
        <v>TIME_SubmitProcess_06</v>
      </c>
      <c r="B14" s="13" t="s">
        <v>149</v>
      </c>
      <c r="C14" s="13" t="s">
        <v>350</v>
      </c>
      <c r="D14" s="13" t="s">
        <v>351</v>
      </c>
      <c r="E14" s="13" t="s">
        <v>201</v>
      </c>
      <c r="F14" s="23" t="s">
        <v>189</v>
      </c>
      <c r="G14" s="24"/>
      <c r="H14" s="13"/>
    </row>
    <row r="15" spans="1:10" ht="120.75" customHeight="1" x14ac:dyDescent="0.3">
      <c r="A15" s="13" t="str">
        <f t="shared" si="0"/>
        <v>TIME_SubmitProcess_07</v>
      </c>
      <c r="B15" s="13" t="s">
        <v>150</v>
      </c>
      <c r="C15" s="13" t="s">
        <v>352</v>
      </c>
      <c r="D15" s="13" t="s">
        <v>353</v>
      </c>
      <c r="E15" s="13" t="s">
        <v>201</v>
      </c>
      <c r="F15" s="23" t="s">
        <v>189</v>
      </c>
      <c r="G15" s="24"/>
      <c r="H15" s="13" t="s">
        <v>59</v>
      </c>
    </row>
    <row r="16" spans="1:10" ht="120.75" customHeight="1" x14ac:dyDescent="0.3">
      <c r="A16" s="13" t="str">
        <f t="shared" si="0"/>
        <v>TIME_SubmitProcess_08</v>
      </c>
      <c r="B16" s="13" t="s">
        <v>151</v>
      </c>
      <c r="C16" s="13" t="s">
        <v>354</v>
      </c>
      <c r="D16" s="13" t="s">
        <v>355</v>
      </c>
      <c r="E16" s="13" t="s">
        <v>201</v>
      </c>
      <c r="F16" s="23" t="s">
        <v>189</v>
      </c>
      <c r="G16" s="24"/>
      <c r="H16" s="13"/>
    </row>
    <row r="17" spans="1:8" ht="120.75" customHeight="1" x14ac:dyDescent="0.3">
      <c r="A17" s="13" t="str">
        <f t="shared" si="0"/>
        <v>TIME_SubmitProcess_09</v>
      </c>
      <c r="B17" s="13" t="s">
        <v>152</v>
      </c>
      <c r="C17" s="13" t="s">
        <v>356</v>
      </c>
      <c r="D17" s="13" t="s">
        <v>357</v>
      </c>
      <c r="E17" s="13" t="s">
        <v>201</v>
      </c>
      <c r="F17" s="23" t="s">
        <v>189</v>
      </c>
      <c r="G17" s="24"/>
      <c r="H17" s="13" t="s">
        <v>59</v>
      </c>
    </row>
    <row r="18" spans="1:8" ht="133.5" customHeight="1" x14ac:dyDescent="0.3">
      <c r="A18" s="13" t="str">
        <f t="shared" si="0"/>
        <v>TIME_SubmitProcess_10</v>
      </c>
      <c r="B18" s="13" t="s">
        <v>153</v>
      </c>
      <c r="C18" s="13" t="s">
        <v>358</v>
      </c>
      <c r="D18" s="13" t="s">
        <v>359</v>
      </c>
      <c r="E18" s="13" t="s">
        <v>343</v>
      </c>
      <c r="F18" s="23" t="s">
        <v>189</v>
      </c>
      <c r="G18" s="24"/>
      <c r="H18" s="13"/>
    </row>
    <row r="19" spans="1:8" ht="133.5" customHeight="1" x14ac:dyDescent="0.3">
      <c r="A19" s="13" t="str">
        <f t="shared" si="0"/>
        <v>TIME_SubmitProcess_11</v>
      </c>
      <c r="B19" s="13" t="s">
        <v>154</v>
      </c>
      <c r="C19" s="13" t="s">
        <v>360</v>
      </c>
      <c r="D19" s="13" t="s">
        <v>361</v>
      </c>
      <c r="E19" s="13" t="s">
        <v>201</v>
      </c>
      <c r="F19" s="23" t="s">
        <v>189</v>
      </c>
      <c r="G19" s="24"/>
      <c r="H19" s="13"/>
    </row>
    <row r="20" spans="1:8" ht="147" customHeight="1" x14ac:dyDescent="0.3">
      <c r="A20" s="13" t="str">
        <f t="shared" si="0"/>
        <v>TIME_SubmitProcess_12</v>
      </c>
      <c r="B20" s="13" t="s">
        <v>155</v>
      </c>
      <c r="C20" s="13" t="s">
        <v>362</v>
      </c>
      <c r="D20" s="13" t="s">
        <v>363</v>
      </c>
      <c r="E20" s="13" t="s">
        <v>201</v>
      </c>
      <c r="F20" s="23" t="s">
        <v>189</v>
      </c>
      <c r="G20" s="24"/>
      <c r="H20" s="13"/>
    </row>
    <row r="21" spans="1:8" ht="120.75" customHeight="1" x14ac:dyDescent="0.3">
      <c r="A21" s="13" t="str">
        <f t="shared" si="0"/>
        <v>TIME_SubmitProcess_13</v>
      </c>
      <c r="B21" s="13" t="s">
        <v>157</v>
      </c>
      <c r="C21" s="13" t="s">
        <v>364</v>
      </c>
      <c r="D21" s="13" t="s">
        <v>365</v>
      </c>
      <c r="E21" s="13" t="s">
        <v>288</v>
      </c>
      <c r="F21" s="23" t="s">
        <v>189</v>
      </c>
      <c r="G21" s="24"/>
      <c r="H21" s="13"/>
    </row>
    <row r="22" spans="1:8" ht="133.5" customHeight="1" x14ac:dyDescent="0.3">
      <c r="A22" s="13" t="str">
        <f t="shared" si="0"/>
        <v>TIME_SubmitProcess_14</v>
      </c>
      <c r="B22" s="13" t="s">
        <v>158</v>
      </c>
      <c r="C22" s="13" t="s">
        <v>366</v>
      </c>
      <c r="D22" s="13" t="s">
        <v>367</v>
      </c>
      <c r="E22" s="13" t="s">
        <v>288</v>
      </c>
      <c r="F22" s="23" t="s">
        <v>189</v>
      </c>
      <c r="G22" s="24"/>
      <c r="H22" s="13" t="s">
        <v>59</v>
      </c>
    </row>
    <row r="23" spans="1:8" ht="133.5" customHeight="1" x14ac:dyDescent="0.3">
      <c r="A23" s="13" t="str">
        <f t="shared" si="0"/>
        <v>TIME_SubmitProcess_15</v>
      </c>
      <c r="B23" s="13" t="s">
        <v>159</v>
      </c>
      <c r="C23" s="13" t="s">
        <v>368</v>
      </c>
      <c r="D23" s="13" t="s">
        <v>369</v>
      </c>
      <c r="E23" s="13" t="s">
        <v>288</v>
      </c>
      <c r="F23" s="23" t="s">
        <v>189</v>
      </c>
      <c r="G23" s="24"/>
      <c r="H23" s="13"/>
    </row>
    <row r="24" spans="1:8" ht="133.5" customHeight="1" x14ac:dyDescent="0.3">
      <c r="A24" s="13" t="str">
        <f t="shared" si="0"/>
        <v>TIME_SubmitProcess_16</v>
      </c>
      <c r="B24" s="13" t="s">
        <v>160</v>
      </c>
      <c r="C24" s="13" t="s">
        <v>370</v>
      </c>
      <c r="D24" s="13" t="s">
        <v>371</v>
      </c>
      <c r="E24" s="13" t="s">
        <v>288</v>
      </c>
      <c r="F24" s="23" t="s">
        <v>189</v>
      </c>
      <c r="G24" s="24"/>
      <c r="H24" s="13" t="s">
        <v>59</v>
      </c>
    </row>
    <row r="25" spans="1:8" ht="81.75" customHeight="1" x14ac:dyDescent="0.3">
      <c r="A25" s="13" t="str">
        <f t="shared" si="0"/>
        <v>TIME_SubmitProcess_17</v>
      </c>
      <c r="B25" s="13" t="s">
        <v>161</v>
      </c>
      <c r="C25" s="13" t="s">
        <v>372</v>
      </c>
      <c r="D25" s="13" t="s">
        <v>373</v>
      </c>
      <c r="E25" s="13" t="s">
        <v>374</v>
      </c>
      <c r="F25" s="23" t="s">
        <v>189</v>
      </c>
      <c r="G25" s="24"/>
      <c r="H25" s="13"/>
    </row>
    <row r="26" spans="1:8" ht="94.5" customHeight="1" x14ac:dyDescent="0.3">
      <c r="A26" s="13" t="str">
        <f t="shared" si="0"/>
        <v>TIME_SubmitProcess_18</v>
      </c>
      <c r="B26" s="13" t="s">
        <v>162</v>
      </c>
      <c r="C26" s="13" t="s">
        <v>375</v>
      </c>
      <c r="D26" s="13" t="s">
        <v>376</v>
      </c>
      <c r="E26" s="13" t="s">
        <v>374</v>
      </c>
      <c r="F26" s="23" t="s">
        <v>189</v>
      </c>
      <c r="G26" s="24"/>
      <c r="H26" s="13"/>
    </row>
    <row r="27" spans="1:8" ht="108" customHeight="1" x14ac:dyDescent="0.3">
      <c r="A27" s="13" t="str">
        <f t="shared" si="0"/>
        <v>TIME_SubmitProcess_19</v>
      </c>
      <c r="B27" s="13" t="s">
        <v>163</v>
      </c>
      <c r="C27" s="13" t="s">
        <v>377</v>
      </c>
      <c r="D27" s="13" t="s">
        <v>378</v>
      </c>
      <c r="E27" s="13" t="s">
        <v>379</v>
      </c>
      <c r="F27" s="23" t="s">
        <v>189</v>
      </c>
      <c r="G27" s="24"/>
      <c r="H27" s="13"/>
    </row>
    <row r="28" spans="1:8" ht="133.5" customHeight="1" x14ac:dyDescent="0.3">
      <c r="A28" s="13" t="str">
        <f t="shared" si="0"/>
        <v>TIME_SubmitProcess_20</v>
      </c>
      <c r="B28" s="13" t="s">
        <v>164</v>
      </c>
      <c r="C28" s="13" t="s">
        <v>380</v>
      </c>
      <c r="D28" s="13" t="s">
        <v>381</v>
      </c>
      <c r="E28" s="13" t="s">
        <v>379</v>
      </c>
      <c r="F28" s="23" t="s">
        <v>189</v>
      </c>
      <c r="G28" s="24"/>
      <c r="H28" s="13"/>
    </row>
    <row r="29" spans="1:8" ht="108" customHeight="1" x14ac:dyDescent="0.3">
      <c r="A29" s="13" t="str">
        <f t="shared" si="0"/>
        <v>TIME_SubmitProcess_21</v>
      </c>
      <c r="B29" s="13" t="s">
        <v>165</v>
      </c>
      <c r="C29" s="13" t="s">
        <v>382</v>
      </c>
      <c r="D29" s="13" t="s">
        <v>383</v>
      </c>
      <c r="E29" s="13" t="s">
        <v>384</v>
      </c>
      <c r="F29" s="23" t="s">
        <v>189</v>
      </c>
      <c r="G29" s="24"/>
      <c r="H29" s="13"/>
    </row>
    <row r="30" spans="1:8" ht="94.5" customHeight="1" x14ac:dyDescent="0.3">
      <c r="A30" s="13" t="str">
        <f t="shared" si="0"/>
        <v>TIME_SubmitProcess_22</v>
      </c>
      <c r="B30" s="13" t="s">
        <v>166</v>
      </c>
      <c r="C30" s="13" t="s">
        <v>385</v>
      </c>
      <c r="D30" s="13" t="s">
        <v>386</v>
      </c>
      <c r="E30" s="13" t="s">
        <v>387</v>
      </c>
      <c r="F30" s="23" t="s">
        <v>189</v>
      </c>
      <c r="G30" s="24"/>
      <c r="H30" s="13" t="s">
        <v>59</v>
      </c>
    </row>
    <row r="31" spans="1:8" ht="120.75" customHeight="1" x14ac:dyDescent="0.3">
      <c r="A31" s="13" t="str">
        <f t="shared" si="0"/>
        <v>TIME_SubmitProcess_23</v>
      </c>
      <c r="B31" s="13" t="s">
        <v>167</v>
      </c>
      <c r="C31" s="13" t="s">
        <v>388</v>
      </c>
      <c r="D31" s="13" t="s">
        <v>389</v>
      </c>
      <c r="E31" s="13" t="s">
        <v>288</v>
      </c>
      <c r="F31" s="23" t="s">
        <v>189</v>
      </c>
      <c r="G31" s="24"/>
      <c r="H31" s="13" t="s">
        <v>59</v>
      </c>
    </row>
    <row r="32" spans="1:8" ht="133.5" customHeight="1" x14ac:dyDescent="0.3">
      <c r="A32" s="13" t="str">
        <f t="shared" si="0"/>
        <v>TIME_SubmitProcess_24</v>
      </c>
      <c r="B32" s="13" t="s">
        <v>168</v>
      </c>
      <c r="C32" s="13" t="s">
        <v>390</v>
      </c>
      <c r="D32" s="13" t="s">
        <v>391</v>
      </c>
      <c r="E32" s="13" t="s">
        <v>288</v>
      </c>
      <c r="F32" s="23" t="s">
        <v>189</v>
      </c>
      <c r="G32" s="24"/>
      <c r="H32" s="13" t="s">
        <v>59</v>
      </c>
    </row>
    <row r="33" spans="1:8" ht="133.5" customHeight="1" x14ac:dyDescent="0.3">
      <c r="A33" s="13" t="str">
        <f t="shared" si="0"/>
        <v>TIME_SubmitProcess_25</v>
      </c>
      <c r="B33" s="13" t="s">
        <v>169</v>
      </c>
      <c r="C33" s="13" t="s">
        <v>392</v>
      </c>
      <c r="D33" s="13" t="s">
        <v>393</v>
      </c>
      <c r="E33" s="13" t="s">
        <v>288</v>
      </c>
      <c r="F33" s="23" t="s">
        <v>189</v>
      </c>
      <c r="G33" s="24"/>
      <c r="H33" s="13" t="s">
        <v>59</v>
      </c>
    </row>
    <row r="34" spans="1:8" ht="81.75" customHeight="1" x14ac:dyDescent="0.3">
      <c r="A34" s="13" t="str">
        <f t="shared" si="0"/>
        <v>TIME_SubmitProcess_26</v>
      </c>
      <c r="B34" s="13" t="s">
        <v>170</v>
      </c>
      <c r="C34" s="13" t="s">
        <v>394</v>
      </c>
      <c r="D34" s="13" t="s">
        <v>395</v>
      </c>
      <c r="E34" s="13" t="s">
        <v>288</v>
      </c>
      <c r="F34" s="23" t="s">
        <v>189</v>
      </c>
      <c r="G34" s="24"/>
      <c r="H34" s="13"/>
    </row>
    <row r="35" spans="1:8" ht="94.5" customHeight="1" x14ac:dyDescent="0.3">
      <c r="A35" s="13" t="str">
        <f t="shared" si="0"/>
        <v>TIME_SubmitProcess_27</v>
      </c>
      <c r="B35" s="13" t="s">
        <v>171</v>
      </c>
      <c r="C35" s="13" t="s">
        <v>396</v>
      </c>
      <c r="D35" s="13" t="s">
        <v>397</v>
      </c>
      <c r="E35" s="13" t="s">
        <v>288</v>
      </c>
      <c r="F35" s="23" t="s">
        <v>189</v>
      </c>
      <c r="G35" s="24"/>
      <c r="H35" s="13" t="s">
        <v>59</v>
      </c>
    </row>
    <row r="36" spans="1:8" ht="108" customHeight="1" x14ac:dyDescent="0.3">
      <c r="A36" s="13" t="str">
        <f t="shared" si="0"/>
        <v>TIME_SubmitProcess_28</v>
      </c>
      <c r="B36" s="13" t="s">
        <v>172</v>
      </c>
      <c r="C36" s="13" t="s">
        <v>398</v>
      </c>
      <c r="D36" s="13" t="s">
        <v>399</v>
      </c>
      <c r="E36" s="13" t="s">
        <v>288</v>
      </c>
      <c r="F36" s="23" t="s">
        <v>189</v>
      </c>
      <c r="G36" s="24"/>
      <c r="H36" s="13"/>
    </row>
    <row r="37" spans="1:8" ht="120.75" customHeight="1" x14ac:dyDescent="0.3">
      <c r="A37" s="13" t="str">
        <f t="shared" si="0"/>
        <v>TIME_SubmitProcess_29</v>
      </c>
      <c r="B37" s="13" t="s">
        <v>173</v>
      </c>
      <c r="C37" s="13" t="s">
        <v>400</v>
      </c>
      <c r="D37" s="13" t="s">
        <v>401</v>
      </c>
      <c r="E37" s="13" t="s">
        <v>288</v>
      </c>
      <c r="F37" s="23" t="s">
        <v>189</v>
      </c>
      <c r="G37" s="24"/>
      <c r="H37" s="13" t="s">
        <v>59</v>
      </c>
    </row>
    <row r="38" spans="1:8" ht="133.5" customHeight="1" x14ac:dyDescent="0.3">
      <c r="A38" s="13" t="str">
        <f t="shared" si="0"/>
        <v>TIME_SubmitProcess_30</v>
      </c>
      <c r="B38" s="13" t="s">
        <v>174</v>
      </c>
      <c r="C38" s="13" t="s">
        <v>402</v>
      </c>
      <c r="D38" s="13" t="s">
        <v>403</v>
      </c>
      <c r="E38" s="13" t="s">
        <v>288</v>
      </c>
      <c r="F38" s="23" t="s">
        <v>189</v>
      </c>
      <c r="G38" s="24"/>
      <c r="H38" s="13"/>
    </row>
    <row r="39" spans="1:8" ht="108" customHeight="1" x14ac:dyDescent="0.3">
      <c r="A39" s="13" t="str">
        <f t="shared" si="0"/>
        <v>TIME_SubmitProcess_31</v>
      </c>
      <c r="B39" s="13" t="s">
        <v>176</v>
      </c>
      <c r="C39" s="13" t="s">
        <v>283</v>
      </c>
      <c r="D39" s="13" t="s">
        <v>404</v>
      </c>
      <c r="E39" s="13" t="s">
        <v>201</v>
      </c>
      <c r="F39" s="23" t="s">
        <v>189</v>
      </c>
      <c r="G39" s="24"/>
      <c r="H39" s="13"/>
    </row>
    <row r="40" spans="1:8" ht="120.75" customHeight="1" x14ac:dyDescent="0.3">
      <c r="A40" s="13" t="str">
        <f t="shared" si="0"/>
        <v>TIME_SubmitProcess_32</v>
      </c>
      <c r="B40" s="13" t="s">
        <v>177</v>
      </c>
      <c r="C40" s="13" t="s">
        <v>405</v>
      </c>
      <c r="D40" s="13" t="s">
        <v>406</v>
      </c>
      <c r="E40" s="13" t="s">
        <v>201</v>
      </c>
      <c r="F40" s="23" t="s">
        <v>189</v>
      </c>
      <c r="G40" s="24"/>
      <c r="H40" s="13" t="s">
        <v>59</v>
      </c>
    </row>
    <row r="41" spans="1:8" ht="133.5" customHeight="1" x14ac:dyDescent="0.3">
      <c r="A41" s="13" t="str">
        <f t="shared" si="0"/>
        <v>TIME_SubmitProcess_33</v>
      </c>
      <c r="B41" s="13" t="s">
        <v>178</v>
      </c>
      <c r="C41" s="13" t="s">
        <v>407</v>
      </c>
      <c r="D41" s="13" t="s">
        <v>408</v>
      </c>
      <c r="E41" s="13" t="s">
        <v>409</v>
      </c>
      <c r="F41" s="23" t="s">
        <v>189</v>
      </c>
      <c r="G41" s="24"/>
      <c r="H41" s="13"/>
    </row>
    <row r="42" spans="1:8" ht="120.75" customHeight="1" x14ac:dyDescent="0.3">
      <c r="A42" s="13" t="str">
        <f t="shared" si="0"/>
        <v>TIME_SubmitProcess_34</v>
      </c>
      <c r="B42" s="13" t="s">
        <v>179</v>
      </c>
      <c r="C42" s="13" t="s">
        <v>410</v>
      </c>
      <c r="D42" s="13" t="s">
        <v>411</v>
      </c>
      <c r="E42" s="13" t="s">
        <v>409</v>
      </c>
      <c r="F42" s="23" t="s">
        <v>189</v>
      </c>
      <c r="G42" s="24"/>
      <c r="H42" s="13" t="s">
        <v>59</v>
      </c>
    </row>
    <row r="43" spans="1:8" ht="147" customHeight="1" x14ac:dyDescent="0.3">
      <c r="A43" s="13" t="str">
        <f t="shared" si="0"/>
        <v>TIME_SubmitProcess_35</v>
      </c>
      <c r="B43" s="13" t="s">
        <v>180</v>
      </c>
      <c r="C43" s="13" t="s">
        <v>412</v>
      </c>
      <c r="D43" s="13" t="s">
        <v>413</v>
      </c>
      <c r="E43" s="13" t="s">
        <v>288</v>
      </c>
      <c r="F43" s="23" t="s">
        <v>189</v>
      </c>
      <c r="G43" s="24"/>
      <c r="H43" s="13"/>
    </row>
    <row r="44" spans="1:8" ht="133.5" customHeight="1" x14ac:dyDescent="0.3">
      <c r="A44" s="13" t="str">
        <f t="shared" si="0"/>
        <v>TIME_SubmitProcess_36</v>
      </c>
      <c r="B44" s="13" t="s">
        <v>181</v>
      </c>
      <c r="C44" s="13" t="s">
        <v>414</v>
      </c>
      <c r="D44" s="13" t="s">
        <v>415</v>
      </c>
      <c r="E44" s="13" t="s">
        <v>288</v>
      </c>
      <c r="F44" s="23" t="s">
        <v>189</v>
      </c>
      <c r="G44" s="24"/>
      <c r="H44" s="13"/>
    </row>
  </sheetData>
  <mergeCells count="5">
    <mergeCell ref="B2:H2"/>
    <mergeCell ref="B3:H3"/>
    <mergeCell ref="B4:H4"/>
    <mergeCell ref="F5:H5"/>
    <mergeCell ref="F6:H6"/>
  </mergeCells>
  <conditionalFormatting sqref="F9:F84">
    <cfRule type="cellIs" dxfId="3" priority="2" operator="equal">
      <formula>"Passed"</formula>
    </cfRule>
    <cfRule type="cellIs" dxfId="2" priority="3" operator="equal">
      <formula>"Failed"</formula>
    </cfRule>
    <cfRule type="cellIs" dxfId="1" priority="4" operator="equal">
      <formula>"Blocked"</formula>
    </cfRule>
    <cfRule type="cellIs" dxfId="0" priority="5" operator="equal">
      <formula>"Skipped"</formula>
    </cfRule>
  </conditionalFormatting>
  <dataValidations count="1">
    <dataValidation type="list" allowBlank="1" sqref="F9:F84">
      <formula1>$J$2:$J$6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0"/>
  <sheetViews>
    <sheetView showGridLines="0" tabSelected="1" zoomScaleNormal="100" workbookViewId="0">
      <selection activeCell="J18" sqref="J18"/>
    </sheetView>
  </sheetViews>
  <sheetFormatPr defaultColWidth="8.6640625" defaultRowHeight="14.4" x14ac:dyDescent="0.3"/>
  <cols>
    <col min="1" max="1" width="4" customWidth="1"/>
    <col min="2" max="2" width="8" customWidth="1"/>
    <col min="3" max="3" width="30" customWidth="1"/>
    <col min="4" max="8" width="11" customWidth="1"/>
    <col min="9" max="9" width="24" customWidth="1"/>
  </cols>
  <sheetData>
    <row r="1" spans="2:9" ht="33.75" customHeight="1" x14ac:dyDescent="0.4">
      <c r="B1" s="38" t="s">
        <v>416</v>
      </c>
      <c r="C1" s="38"/>
      <c r="D1" s="38"/>
      <c r="E1" s="38"/>
      <c r="F1" s="38"/>
      <c r="G1" s="38"/>
      <c r="H1" s="38"/>
    </row>
    <row r="3" spans="2:9" ht="23.85" customHeight="1" x14ac:dyDescent="0.3">
      <c r="B3" s="1" t="s">
        <v>1</v>
      </c>
      <c r="C3" s="32" t="str">
        <f>Cover!C4</f>
        <v>OrangeHRM - Time (Timesheets)</v>
      </c>
      <c r="D3" s="32"/>
      <c r="E3" s="33" t="s">
        <v>3</v>
      </c>
      <c r="F3" s="33"/>
      <c r="G3" s="32" t="s">
        <v>428</v>
      </c>
      <c r="H3" s="32"/>
    </row>
    <row r="4" spans="2:9" ht="23.85" customHeight="1" x14ac:dyDescent="0.3">
      <c r="B4" s="1" t="s">
        <v>4</v>
      </c>
      <c r="C4" s="32" t="str">
        <f>Cover!C5</f>
        <v>OHRM-TIME</v>
      </c>
      <c r="D4" s="32"/>
      <c r="E4" s="33" t="s">
        <v>6</v>
      </c>
      <c r="F4" s="33"/>
      <c r="G4" s="32" t="s">
        <v>429</v>
      </c>
      <c r="H4" s="32"/>
    </row>
    <row r="5" spans="2:9" ht="35.1" customHeight="1" x14ac:dyDescent="0.3">
      <c r="B5" s="1" t="s">
        <v>7</v>
      </c>
      <c r="C5" s="32" t="str">
        <f>C4&amp;"_"&amp;"Test Report"&amp;"_"&amp;"v0.1"</f>
        <v>OHRM-TIME_Test Report_v0.1</v>
      </c>
      <c r="D5" s="32"/>
      <c r="E5" s="33" t="s">
        <v>8</v>
      </c>
      <c r="F5" s="33"/>
      <c r="G5" s="37">
        <f>Cover!G6</f>
        <v>46322</v>
      </c>
      <c r="H5" s="37"/>
    </row>
    <row r="6" spans="2:9" ht="30" customHeight="1" x14ac:dyDescent="0.3">
      <c r="B6" s="1" t="s">
        <v>417</v>
      </c>
      <c r="C6" s="32" t="s">
        <v>418</v>
      </c>
      <c r="D6" s="32"/>
      <c r="E6" s="32"/>
      <c r="F6" s="32"/>
      <c r="G6" s="32"/>
      <c r="H6" s="32"/>
    </row>
    <row r="10" spans="2:9" ht="27.75" customHeight="1" x14ac:dyDescent="0.3">
      <c r="B10" s="5" t="s">
        <v>24</v>
      </c>
      <c r="C10" s="5" t="s">
        <v>419</v>
      </c>
      <c r="D10" s="5" t="s">
        <v>420</v>
      </c>
      <c r="E10" s="5" t="s">
        <v>421</v>
      </c>
      <c r="F10" s="5" t="s">
        <v>189</v>
      </c>
      <c r="G10" s="5" t="s">
        <v>188</v>
      </c>
      <c r="H10" s="5" t="s">
        <v>190</v>
      </c>
      <c r="I10" s="5" t="s">
        <v>422</v>
      </c>
    </row>
    <row r="11" spans="2:9" x14ac:dyDescent="0.3">
      <c r="B11" s="25">
        <v>1</v>
      </c>
      <c r="C11" s="26" t="str">
        <f>F07_TaoTimesheet!B2</f>
        <v>TIME_CreateTimesheet</v>
      </c>
      <c r="D11" s="25">
        <f>F07_TaoTimesheet!A6</f>
        <v>0</v>
      </c>
      <c r="E11" s="25">
        <f>F07_TaoTimesheet!B6</f>
        <v>0</v>
      </c>
      <c r="F11" s="25">
        <f>F07_TaoTimesheet!C6</f>
        <v>42</v>
      </c>
      <c r="G11" s="25">
        <f>F07_TaoTimesheet!D6</f>
        <v>0</v>
      </c>
      <c r="H11" s="25">
        <f>F07_TaoTimesheet!E6</f>
        <v>0</v>
      </c>
      <c r="I11" s="25">
        <f>F07_TaoTimesheet!F6</f>
        <v>42</v>
      </c>
    </row>
    <row r="12" spans="2:9" x14ac:dyDescent="0.3">
      <c r="B12" s="25">
        <v>2</v>
      </c>
      <c r="C12" s="26" t="str">
        <f>F08_TraCuuTimesheet!B2</f>
        <v>TIME_SearchTimesheet</v>
      </c>
      <c r="D12" s="25">
        <f>F08_TraCuuTimesheet!A6</f>
        <v>0</v>
      </c>
      <c r="E12" s="25">
        <f>F08_TraCuuTimesheet!B6</f>
        <v>0</v>
      </c>
      <c r="F12" s="25">
        <f>F08_TraCuuTimesheet!C6</f>
        <v>29</v>
      </c>
      <c r="G12" s="25">
        <f>F08_TraCuuTimesheet!D6</f>
        <v>0</v>
      </c>
      <c r="H12" s="25">
        <f>F08_TraCuuTimesheet!E6</f>
        <v>0</v>
      </c>
      <c r="I12" s="25">
        <f>F08_TraCuuTimesheet!F6</f>
        <v>29</v>
      </c>
    </row>
    <row r="13" spans="2:9" x14ac:dyDescent="0.3">
      <c r="B13" s="25">
        <v>3</v>
      </c>
      <c r="C13" s="26" t="str">
        <f>F09_GuiVaXuLy!B2</f>
        <v>TIME_SubmitProcess</v>
      </c>
      <c r="D13" s="25">
        <f>F09_GuiVaXuLy!A6</f>
        <v>0</v>
      </c>
      <c r="E13" s="25">
        <f>F09_GuiVaXuLy!B6</f>
        <v>0</v>
      </c>
      <c r="F13" s="25">
        <f>F09_GuiVaXuLy!C6</f>
        <v>36</v>
      </c>
      <c r="G13" s="25">
        <f>F09_GuiVaXuLy!D6</f>
        <v>0</v>
      </c>
      <c r="H13" s="25">
        <f>F09_GuiVaXuLy!E6</f>
        <v>0</v>
      </c>
      <c r="I13" s="25">
        <f>F09_GuiVaXuLy!F6</f>
        <v>36</v>
      </c>
    </row>
    <row r="15" spans="2:9" x14ac:dyDescent="0.3">
      <c r="C15" s="27" t="s">
        <v>423</v>
      </c>
      <c r="D15" s="28">
        <f t="shared" ref="D15:I15" si="0">SUM(D9:D14)</f>
        <v>0</v>
      </c>
      <c r="E15" s="28">
        <f t="shared" si="0"/>
        <v>0</v>
      </c>
      <c r="F15" s="28">
        <f t="shared" si="0"/>
        <v>107</v>
      </c>
      <c r="G15" s="28">
        <f t="shared" si="0"/>
        <v>0</v>
      </c>
      <c r="H15" s="28">
        <f t="shared" si="0"/>
        <v>0</v>
      </c>
      <c r="I15" s="28">
        <f t="shared" si="0"/>
        <v>107</v>
      </c>
    </row>
    <row r="17" spans="3:6" x14ac:dyDescent="0.3">
      <c r="C17" s="15" t="s">
        <v>424</v>
      </c>
      <c r="E17" s="29">
        <f>IFERROR((D15+E15)*100/(I15-H15-G15),0)</f>
        <v>0</v>
      </c>
      <c r="F17" s="30" t="s">
        <v>425</v>
      </c>
    </row>
    <row r="18" spans="3:6" x14ac:dyDescent="0.3">
      <c r="C18" s="15" t="s">
        <v>426</v>
      </c>
      <c r="E18" s="29">
        <f>IFERROR(D15*100/(D15+E15),0)</f>
        <v>0</v>
      </c>
      <c r="F18" s="30" t="s">
        <v>425</v>
      </c>
    </row>
    <row r="20" spans="3:6" x14ac:dyDescent="0.3">
      <c r="C20" s="9" t="s">
        <v>427</v>
      </c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 List</vt:lpstr>
      <vt:lpstr>TestDesign</vt:lpstr>
      <vt:lpstr>F07_TaoTimesheet</vt:lpstr>
      <vt:lpstr>F08_TraCuuTimesheet</vt:lpstr>
      <vt:lpstr>F09_GuiVaXuLy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2026-10-27T09:12:04Z</dcterms:created>
  <dcterms:modified xsi:type="dcterms:W3CDTF">2026-10-30T14:40:37Z</dcterms:modified>
  <dc:language>en-US</dc:language>
</cp:coreProperties>
</file>